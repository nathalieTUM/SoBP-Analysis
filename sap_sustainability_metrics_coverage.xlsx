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nathaliewolf/Documents/Research/ConferencePaper/2026_BPM4S/AddionalMaterial_Git/"/>
    </mc:Choice>
  </mc:AlternateContent>
  <xr:revisionPtr revIDLastSave="0" documentId="13_ncr:1_{7049EA17-8B3F-9241-815B-9D1CE9A138E6}" xr6:coauthVersionLast="47" xr6:coauthVersionMax="47" xr10:uidLastSave="{00000000-0000-0000-0000-000000000000}"/>
  <bookViews>
    <workbookView xWindow="860" yWindow="660" windowWidth="29380" windowHeight="18980" activeTab="1" xr2:uid="{367B96AE-07CF-4946-8CC3-31A07D32136A}"/>
  </bookViews>
  <sheets>
    <sheet name="Overview" sheetId="6" r:id="rId1"/>
    <sheet name="Economic" sheetId="1" r:id="rId2"/>
    <sheet name="Environment" sheetId="2" r:id="rId3"/>
    <sheet name="Social" sheetId="3" r:id="rId4"/>
    <sheet name="Governance" sheetId="4" r:id="rId5"/>
  </sheets>
  <calcPr calcId="191029"/>
  <pivotCaches>
    <pivotCache cacheId="0" r:id="rId6"/>
    <pivotCache cacheId="1" r:id="rId7"/>
    <pivotCache cacheId="2" r:id="rId8"/>
    <pivotCache cacheId="3" r:id="rId9"/>
    <pivotCache cacheId="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4" l="1"/>
  <c r="C22" i="4"/>
  <c r="C69" i="3"/>
  <c r="C68" i="3"/>
  <c r="C27" i="1"/>
  <c r="C26" i="1"/>
  <c r="C54" i="2"/>
  <c r="C53" i="2"/>
  <c r="A12" i="1"/>
  <c r="D8" i="6"/>
  <c r="C8" i="6"/>
  <c r="D7" i="6"/>
  <c r="C7" i="6"/>
  <c r="E6" i="6"/>
  <c r="D6" i="6"/>
  <c r="E5" i="6"/>
  <c r="D5" i="6"/>
  <c r="C5" i="6"/>
  <c r="G55" i="2"/>
  <c r="G56" i="2"/>
  <c r="H55" i="2" l="1"/>
  <c r="A59" i="3"/>
  <c r="A61" i="3"/>
  <c r="A62" i="3"/>
  <c r="A63" i="3"/>
  <c r="A5" i="4"/>
  <c r="A6" i="4"/>
  <c r="A7" i="4"/>
  <c r="A8" i="4"/>
  <c r="A9" i="4"/>
  <c r="A10" i="4"/>
  <c r="A11" i="4"/>
  <c r="A12" i="4"/>
  <c r="A13" i="4"/>
  <c r="A14" i="4"/>
  <c r="A15" i="4"/>
  <c r="A16" i="4"/>
  <c r="A17" i="4"/>
  <c r="A18" i="4"/>
  <c r="A19" i="4"/>
  <c r="A4" i="4"/>
  <c r="A4" i="3"/>
  <c r="A64" i="3"/>
  <c r="A60"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 i="3"/>
  <c r="A49"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 i="2"/>
  <c r="A13" i="1"/>
  <c r="A14" i="1"/>
  <c r="A15" i="1"/>
  <c r="A16" i="1"/>
  <c r="A17" i="1"/>
  <c r="A18" i="1"/>
  <c r="A19" i="1"/>
  <c r="A20" i="1"/>
  <c r="A21" i="1"/>
  <c r="A22" i="1"/>
  <c r="A23" i="1"/>
  <c r="A24" i="1"/>
  <c r="A5" i="1"/>
  <c r="A6" i="1"/>
  <c r="A7" i="1"/>
  <c r="A8" i="1"/>
  <c r="A9" i="1"/>
  <c r="A10" i="1"/>
  <c r="A11" i="1"/>
  <c r="A4" i="1"/>
  <c r="F6" i="6"/>
  <c r="F8" i="6"/>
  <c r="E7" i="6"/>
  <c r="F7" i="6"/>
  <c r="F5" i="6"/>
  <c r="E9" i="6" l="1"/>
  <c r="G6" i="6"/>
  <c r="G5" i="6"/>
  <c r="G8" i="6"/>
  <c r="G7" i="6"/>
  <c r="C9" i="6"/>
  <c r="D9" i="6"/>
  <c r="F9" i="6"/>
  <c r="G9" i="6" l="1"/>
  <c r="E10" i="6" s="1"/>
  <c r="C11" i="6" l="1"/>
  <c r="D10" i="6"/>
  <c r="C10" i="6"/>
  <c r="F10" i="6"/>
</calcChain>
</file>

<file path=xl/sharedStrings.xml><?xml version="1.0" encoding="utf-8"?>
<sst xmlns="http://schemas.openxmlformats.org/spreadsheetml/2006/main" count="792" uniqueCount="321">
  <si>
    <t>ID</t>
  </si>
  <si>
    <t>Process-Level Metric</t>
  </si>
  <si>
    <t>Source</t>
  </si>
  <si>
    <t>SAP Status</t>
  </si>
  <si>
    <t>SAP Location</t>
  </si>
  <si>
    <t>Notes</t>
  </si>
  <si>
    <t>Direct economic value generated: revenues</t>
  </si>
  <si>
    <t>Payments to providers of capital (Interest, Dividends)</t>
  </si>
  <si>
    <t>Community investments (Funds to support community infrastructure, Direct costs of social programs)</t>
  </si>
  <si>
    <t>Economic value retained: ‘direct economic value generated’ less ‘economic value
distributed’</t>
  </si>
  <si>
    <t>Energy Cost</t>
  </si>
  <si>
    <t>Disposal Cost</t>
  </si>
  <si>
    <t>Total expenditure on meeting environmental regulations</t>
  </si>
  <si>
    <t>Total expenditure on proactive environmental initiatives</t>
  </si>
  <si>
    <t>GRI 201-1</t>
  </si>
  <si>
    <t>Wolf et al., 2025</t>
  </si>
  <si>
    <t>Extent of development of significant infrastructure investments and services supported</t>
  </si>
  <si>
    <t>Percentage of the procurement budget used for significant locations of operation that is spent on suppliers local to that operation (such as percentage of products and services purchased locally)</t>
  </si>
  <si>
    <t>GRI 203-1</t>
  </si>
  <si>
    <t>GRI 204-1</t>
  </si>
  <si>
    <t>Personnel Costs</t>
  </si>
  <si>
    <t>Defined benefit plan obligations and other retirement plans</t>
  </si>
  <si>
    <t>GRI 201-3</t>
  </si>
  <si>
    <t>Total expenditure on employee training programs</t>
  </si>
  <si>
    <t>Total savings from implementing environmental actions</t>
  </si>
  <si>
    <t>Total amount donated to charitable causes</t>
  </si>
  <si>
    <t>Total monetary value of financial assistance received by the organization from any government during the reporting period</t>
  </si>
  <si>
    <t>GRI 201-4</t>
  </si>
  <si>
    <t>Total expenditure on environmental actions and projects</t>
  </si>
  <si>
    <t>Total monetary return from environmental investments</t>
  </si>
  <si>
    <t>Total additional revenue generated from sustainability actions</t>
  </si>
  <si>
    <t>Number of environmental certifications owned</t>
  </si>
  <si>
    <t>Standard Payment Terms Compliance</t>
  </si>
  <si>
    <t>Total number of incidents of non-compliance with regulations and/or voluntary codes concerning the health and safety impacts of products and services within the reporting period</t>
  </si>
  <si>
    <t>Total number of incidents of non-compliance with regulations and/or voluntary codes
concerning product and service information and labeling</t>
  </si>
  <si>
    <t>Total number of incidents of non-compliance with regulations and/or voluntary codes concerning marketing communications, including advertising, promotion, and sponsorship</t>
  </si>
  <si>
    <t>Public legal cases regarding corruption brought against the organization or ist employees during the reporting period and the outcomes of such cases.</t>
  </si>
  <si>
    <t>Number of legal actions pending or completed during the reporting period regarding anti-competitive behavior and violations of anti-trust and monopoly legislation in which the organization has been identified as a participant</t>
  </si>
  <si>
    <t>Total number and percentage of operations assessed for risks related to corruption</t>
  </si>
  <si>
    <t>Total number and nature of confirmed incidents of corruption</t>
  </si>
  <si>
    <t>Significant fines and non-monetary sanctions for non-compliance with laws and/or regulations in the social and economic area</t>
  </si>
  <si>
    <t>Total number and percentage of employees that have received training on anti-corruption, broken down by employee category and region</t>
  </si>
  <si>
    <t>ESRS DR G1-6</t>
  </si>
  <si>
    <t>GRI 416-2</t>
  </si>
  <si>
    <t>GRI 417-2</t>
  </si>
  <si>
    <t>GRI 417-3</t>
  </si>
  <si>
    <t>GRI 205-3</t>
  </si>
  <si>
    <t>GRI 206-1</t>
  </si>
  <si>
    <t>GRI 205-1</t>
  </si>
  <si>
    <t>GRI 419-1</t>
  </si>
  <si>
    <t>GRI 205-2</t>
  </si>
  <si>
    <t>Duration of classroom training (hours) / computer-based training of anti-corruption training</t>
  </si>
  <si>
    <t>ESRS DR G1-3</t>
  </si>
  <si>
    <t>Total number and percentage of governance body members that the organization’s anti-corruption policies and procedures have been communicated to</t>
  </si>
  <si>
    <t>Total monetary value of financial and in-kind political contributions made directly and indirectly by the organization by country and recipient/beneficiary</t>
  </si>
  <si>
    <t>GRI 415-1</t>
  </si>
  <si>
    <t>Total amount of energy used</t>
  </si>
  <si>
    <t>Total amount of renewable energy used</t>
  </si>
  <si>
    <t>Total amount of energy recovered and reused</t>
  </si>
  <si>
    <t>Reductions in energy requirements of sold products and services achieved during the reporting period</t>
  </si>
  <si>
    <t>GRI 302-5</t>
  </si>
  <si>
    <t>Energy Efficiency</t>
  </si>
  <si>
    <t>Energy intensity (total energy consumption per net revenue) associated with activities in high climate impact sectors</t>
  </si>
  <si>
    <t>ESRS DR E1-5</t>
  </si>
  <si>
    <t>Total amount of gas used</t>
  </si>
  <si>
    <t>Total amount of fuel used</t>
  </si>
  <si>
    <t>Total amount of material recycled</t>
  </si>
  <si>
    <t>Total amount of material reused</t>
  </si>
  <si>
    <t>Total amount of material remanufactured</t>
  </si>
  <si>
    <t>ESRS DR E5-5</t>
  </si>
  <si>
    <t>Total amount of renewable material used</t>
  </si>
  <si>
    <t>Total amount of virgin material used</t>
  </si>
  <si>
    <t>Total amount of compostable material used</t>
  </si>
  <si>
    <t>Total amount of material consumed</t>
  </si>
  <si>
    <t>Ratio of useful material output to total material input</t>
  </si>
  <si>
    <t>Total amount of hazardous substances use</t>
  </si>
  <si>
    <t>Total amount of paper used</t>
  </si>
  <si>
    <t>Total amount of waste produced</t>
  </si>
  <si>
    <t>Materials that are present in the waste (e.g., biomass, metals, non-metallic minerals, plastics, textiles)</t>
  </si>
  <si>
    <t>Total amount of waste processed for recycling</t>
  </si>
  <si>
    <t>Total amount of solid waste produced</t>
  </si>
  <si>
    <t>Total amount of waste redirected from landfill</t>
  </si>
  <si>
    <t>for each type of hazardous and non-hazardous waste, the amount by weight directed to disposal by waste treatment type</t>
  </si>
  <si>
    <t>Total amount of hazardous waste produced</t>
  </si>
  <si>
    <t>Total amount of CO2 emitted</t>
  </si>
  <si>
    <t>Total amount of other greenhouse gases emitted</t>
  </si>
  <si>
    <t>Total amount of gases emitted</t>
  </si>
  <si>
    <t>GHG removals and storage from its own operations and its upstream and downstream value chain</t>
  </si>
  <si>
    <t>Carbon credits the undertaking has purchased from the voluntary market and cancelled in the reporting period</t>
  </si>
  <si>
    <t>Carbon prices applied according to the type of scheme and critical assumptions made to determine the prices</t>
  </si>
  <si>
    <t>ESRS DR E1-7</t>
  </si>
  <si>
    <t>ESRS DR E1-8</t>
  </si>
  <si>
    <t>Total amount of ozone-depleting gases emitted</t>
  </si>
  <si>
    <t>Total amount of pollutants emitted into the air</t>
  </si>
  <si>
    <t>Total amount of pollutants emitted onto land</t>
  </si>
  <si>
    <t>Total amount of pollutants emitted into water</t>
  </si>
  <si>
    <t>Rate of radiation emitted</t>
  </si>
  <si>
    <t>Number and area (in hectares) of sites owned, leased or managed in or near these protected areas or key biodiversity areas</t>
  </si>
  <si>
    <t>Total amount of water used</t>
  </si>
  <si>
    <t>ESRS DR E4-5</t>
  </si>
  <si>
    <t>Total water discharge to all areas in megaliters, and a breakdown of this total by the
following types of destination</t>
  </si>
  <si>
    <t>GRI 303-4</t>
  </si>
  <si>
    <t>Total water stored and changes in storage</t>
  </si>
  <si>
    <t>ESRS DR E3-4</t>
  </si>
  <si>
    <t>Total amount of water recovered and reused</t>
  </si>
  <si>
    <t>Total amount of rain water collected and used</t>
  </si>
  <si>
    <t>Concentration of contaminants in water</t>
  </si>
  <si>
    <t>Conversion over time (e.g., one or five years) of land cover (e.g., deforestation
or mining)</t>
  </si>
  <si>
    <t>Percentage of stakeholders who are content with the business processes</t>
  </si>
  <si>
    <t>Percentage of customers who are content with the products or services</t>
  </si>
  <si>
    <t>Percentage of employees who are content with the work environment</t>
  </si>
  <si>
    <t>Percentage of local community members content with the business’ impact on the community</t>
  </si>
  <si>
    <t>Total number of substantiated complaints received concerning breaches of customer privacy</t>
  </si>
  <si>
    <t>Total number of identified leaks, thefts, or losses of customer data</t>
  </si>
  <si>
    <t>Number of cases of recordable work-related ill health</t>
  </si>
  <si>
    <t>GRI 418-1</t>
  </si>
  <si>
    <t>ESRS DR S1-14</t>
  </si>
  <si>
    <t>Percentage of significant product and service categories for which health and safety impacts are assessed for improvement</t>
  </si>
  <si>
    <t>GRI 416-1</t>
  </si>
  <si>
    <t>Count of accidents or incidents that occur in a business activity</t>
  </si>
  <si>
    <t>The number and rate of recordable work-related injuries</t>
  </si>
  <si>
    <t>The number and rate of fatalities as a result of work-related injury + The number of fatalities as a result of work-related ill health</t>
  </si>
  <si>
    <t>GRI 403-9</t>
  </si>
  <si>
    <t>GRI 403-9 + GRI 403-10</t>
  </si>
  <si>
    <t>Number of fatalities as result of work-related injuries and work-related ill health of other workers working on undertaking's sites</t>
  </si>
  <si>
    <t>Number of days employees are absent due to illness</t>
  </si>
  <si>
    <t>Number of workdays employees are absent due to injuries sustained from work-related accidents</t>
  </si>
  <si>
    <t>The number of hours worked</t>
  </si>
  <si>
    <t>Percentage of own workers who are covered by the undertaking’s health and safety management system</t>
  </si>
  <si>
    <t>ESRS DR S1-16</t>
  </si>
  <si>
    <t>Percentage of employees entitled to take family-related leaves</t>
  </si>
  <si>
    <t>Percentage of entitled employees that took family-related leave</t>
  </si>
  <si>
    <t>Total number of employees that returned to work in the reporting period after parental leave ended, by gender</t>
  </si>
  <si>
    <t>Return to work and retention rates of employees that took parental leave, by gender</t>
  </si>
  <si>
    <t>Minimum number of weeks’ notice typically provided to employees and their representatives prior to the implementation of significant operational changes that could substantially affect them</t>
  </si>
  <si>
    <t>GRI 401-3</t>
  </si>
  <si>
    <t>GRI 402-1</t>
  </si>
  <si>
    <t>Number of actions or tasks that can potentially introduce risks or uncertainties</t>
  </si>
  <si>
    <t>Number of actions to encourage and maintain employee health and well-being</t>
  </si>
  <si>
    <t>Percentage of employees exposed to harmful chemicals in the workplace</t>
  </si>
  <si>
    <t>Amount of particulate matter present in the air at specific working location</t>
  </si>
  <si>
    <t>Sound level at a specific working location</t>
  </si>
  <si>
    <t>Intensity of periodic oscillations at a working station caused by machines, tools, or other equipment</t>
  </si>
  <si>
    <t>Number of training hours completed by employees</t>
  </si>
  <si>
    <t>Percentage of employees that participated in regular performance and career development reviews</t>
  </si>
  <si>
    <t>ESRS DR S1-13</t>
  </si>
  <si>
    <t>Skill level of employees</t>
  </si>
  <si>
    <t>Number of benefits and rewards offered to employees</t>
  </si>
  <si>
    <t>Total number and rate of new employee hires during the reporting period, by age group, gender and region</t>
  </si>
  <si>
    <t>Ratio of productive work hours to the total work hours of employees</t>
  </si>
  <si>
    <t>Ratio of employees who leave to the total number of employees</t>
  </si>
  <si>
    <t>Ratio of male to female employees</t>
  </si>
  <si>
    <t>GRI 401-1</t>
  </si>
  <si>
    <t>Gender Distribution at top management level</t>
  </si>
  <si>
    <t>Gender pay gap</t>
  </si>
  <si>
    <t>Ratio of the annual total compensation ratio of the highest paid individual to the median annual total compensation for all employees</t>
  </si>
  <si>
    <t>ESRS DR S1-9</t>
  </si>
  <si>
    <t>GRI 202-1</t>
  </si>
  <si>
    <t>Distribution of employees by age group</t>
  </si>
  <si>
    <t>Percentage of workforce paid below the adequate wage</t>
  </si>
  <si>
    <t>Total number of incidents of discrimination</t>
  </si>
  <si>
    <t>Number of complaints filed through channels for people in own workforce to raise concerns</t>
  </si>
  <si>
    <t>Number of complaints filed to National Contact Points for OECD Multinational Enterprises</t>
  </si>
  <si>
    <t>ESRS DR S1-10</t>
  </si>
  <si>
    <t>ESRS DR S1-17</t>
  </si>
  <si>
    <t>Number of severe human rights incidents connected to own workforce</t>
  </si>
  <si>
    <t>Percentage of security personnel who have received formal training in the organization’s human rights policies or specific procedures and their application to security</t>
  </si>
  <si>
    <t>GRI 410-1</t>
  </si>
  <si>
    <t>Total amount of fines, penalties, and compensation for damages for severe human rights incidents connected to own workforce</t>
  </si>
  <si>
    <t>Number of actions to support disadvantaged employees</t>
  </si>
  <si>
    <t>Percentage of persons with disabilities in its own workforce</t>
  </si>
  <si>
    <t>ESRS DR S1-12</t>
  </si>
  <si>
    <t>Number of actions to support female employees</t>
  </si>
  <si>
    <t>Number of employees hired from the local community</t>
  </si>
  <si>
    <t>Percentage of operations with implemented local community engagement, impact assessments, and/or development programs</t>
  </si>
  <si>
    <t>Total number of identified incidents of violations involving the rights of indigenous peoples during the reporting period</t>
  </si>
  <si>
    <t>GRI 413-1</t>
  </si>
  <si>
    <t>GRI 411-1</t>
  </si>
  <si>
    <t>Amount of resources sourced from conflict-affected areas</t>
  </si>
  <si>
    <t>Number of suppliers lacking sustainability standards and regulations</t>
  </si>
  <si>
    <t>Percentage of suppliers identified as having significant actual and potential negative environmental impacts</t>
  </si>
  <si>
    <t>GRI 308-2</t>
  </si>
  <si>
    <t>Percentage of land in a specific area that is utilized for business operations</t>
  </si>
  <si>
    <t>Local environmental harm caused by business activities</t>
  </si>
  <si>
    <t>Number of social initiatives in which the company participates actively</t>
  </si>
  <si>
    <t>not present</t>
  </si>
  <si>
    <t>SAP Location / Table</t>
  </si>
  <si>
    <t>LFA1 (list of suppliers with locations) + EKKO (orders)</t>
  </si>
  <si>
    <t>project / order information could be extended with environment projects / orders</t>
  </si>
  <si>
    <t>includes "subvention d'investi"</t>
  </si>
  <si>
    <t>can be calculated by subtracting  total economic value distributed from total economic value generated</t>
  </si>
  <si>
    <t>Zeilenbeschriftungen</t>
  </si>
  <si>
    <t>Gesamtergebnis</t>
  </si>
  <si>
    <t>Anzahl von ID</t>
  </si>
  <si>
    <t>extendable</t>
  </si>
  <si>
    <t>currently no entries</t>
  </si>
  <si>
    <t>weight and percentage of products and materials that come out of the undertaking including packaging that are designed to enhance/enable circular economy for customers further down the value chain</t>
  </si>
  <si>
    <t>the total weight (tonnes) and percentage of materials that come out of the undertaking’s products and services production process (including packaging) that have been designed along circular principles (specified in DR E5-5)</t>
  </si>
  <si>
    <t>currently only include general information on packaging type</t>
  </si>
  <si>
    <t>include information on material sustainability type</t>
  </si>
  <si>
    <t>currently no associated entries</t>
  </si>
  <si>
    <t>ACDOCA (Universal Journal) - account 6394000 (political donations)</t>
  </si>
  <si>
    <t>PRPS (project WBS elements) / AUFK (internal order master data)</t>
  </si>
  <si>
    <t>SKA1 (G/L account master)</t>
  </si>
  <si>
    <t>MARA (general material master data) - "Material"</t>
  </si>
  <si>
    <t>QMEL (Quality Management Notifications)</t>
  </si>
  <si>
    <t>KNVV (Customer Master Sales Data)</t>
  </si>
  <si>
    <t>could be extended with information from surveys, complaints or other feedback channels</t>
  </si>
  <si>
    <t>PA0007 (HR - working hours) / PA0050 (HR - time tracking)</t>
  </si>
  <si>
    <t>PA0002 (HR - staff data)</t>
  </si>
  <si>
    <t>includes column for gender, can be used for ratio calculation</t>
  </si>
  <si>
    <t>filter by top-level management employees and use gender column</t>
  </si>
  <si>
    <t>ACDOCA (Universal Journal) - account 64600 (waste collection) / 64610 (special waste disposal) / 64620 (wastewater)</t>
  </si>
  <si>
    <t>ACDOCA (Universal Journal) - account 644000 (Contractual &amp; Delay Fines) / 645000 (Other Fines)</t>
  </si>
  <si>
    <t>PA0000 (HR - actions)</t>
  </si>
  <si>
    <t>includes action for staff exists, can be used for ratio calculation</t>
  </si>
  <si>
    <t>includes action for new staffing, can be used for further calculation</t>
  </si>
  <si>
    <t>ACDOCA (Universal Journal) - accounts 8000000 - Workforce / 8012000 - Production Loans + PA0002 (HR - staff data)</t>
  </si>
  <si>
    <t>includes information on saleries, can be used for calculating gender pay gap togehter with gender information within HR staff data</t>
  </si>
  <si>
    <t>includes the employees place of birth + residence data, can be used for calculation together with company location data and distance threshold</t>
  </si>
  <si>
    <t>LFA1 (supplier master data)</t>
  </si>
  <si>
    <t>could be extended with information on supplier's sustainability status</t>
  </si>
  <si>
    <t>project / order information could be extended with social projects / intitiatives</t>
  </si>
  <si>
    <t>PRPS (project WBS elements)</t>
  </si>
  <si>
    <t>Process Outcomes (Corruption or Bribery)</t>
  </si>
  <si>
    <t>DR G1-4</t>
  </si>
  <si>
    <t>T503K (employee subgroup) / PA0001 (Organizational Assignment)</t>
  </si>
  <si>
    <t>includes birth dates of all employees, can be used for grouping</t>
  </si>
  <si>
    <t>Economic</t>
  </si>
  <si>
    <t>Environment</t>
  </si>
  <si>
    <t>Social</t>
  </si>
  <si>
    <t>Governance</t>
  </si>
  <si>
    <t>Total</t>
  </si>
  <si>
    <t>PA0050 (HR - time tracking)</t>
  </si>
  <si>
    <t>T510 (pay scale groups with pay scale area) / T510L (pay scale levels)</t>
  </si>
  <si>
    <t>project / order information could be extended with infrastructure projects / intitiatives</t>
  </si>
  <si>
    <t>Average invoice payment duration</t>
  </si>
  <si>
    <t>BSEG (Accounting Document Segment) + PAYR (payment data table)</t>
  </si>
  <si>
    <t xml:space="preserve">can be calculated using invoice posting date from BSEG and payment date from PAYR </t>
  </si>
  <si>
    <t>T554S (Absence Types)</t>
  </si>
  <si>
    <t>includes category for work-related illness</t>
  </si>
  <si>
    <t>includes category for work-related accidents, but no absence table existing in current system</t>
  </si>
  <si>
    <t>possibly existing within EHS Extension</t>
  </si>
  <si>
    <t>includes configuration possibility for Value of accrued occupational pension entitlement, but no implementation in current system</t>
  </si>
  <si>
    <t xml:space="preserve">T582A (customer-specific settings for infotypes) </t>
  </si>
  <si>
    <t>PA0050 (HR - time tracking) + PA0007 (HR - working time)</t>
  </si>
  <si>
    <t>can be calculated be comparing actual working time and planned working time</t>
  </si>
  <si>
    <t>pay scale information can be used to calculate the ratio</t>
  </si>
  <si>
    <t>T510L (pay scale levels) + PA002 (HR staff data)</t>
  </si>
  <si>
    <t>ACDOCA (Universal Journal) - account 645000 (other fines)</t>
  </si>
  <si>
    <t>Could be extended with seperate accounts for human right violation fines and compensation payments</t>
  </si>
  <si>
    <t>could be extended with information on supplier's sustainability impact</t>
  </si>
  <si>
    <t>T001W (Plant data)</t>
  </si>
  <si>
    <t>plant data could be extended with area information; exisiting location information can be used to calculate proximity to protected and key biodiversity areas</t>
  </si>
  <si>
    <t>Sustainability Category</t>
  </si>
  <si>
    <t>Not present</t>
  </si>
  <si>
    <t>Significant actual and potential negative environmental impacts identified in the supply chain
chain</t>
  </si>
  <si>
    <t>plant data could be extended with area information</t>
  </si>
  <si>
    <t>FI – Accounts Payable</t>
  </si>
  <si>
    <t>FI – Profit and Loss / Balance Sheet</t>
  </si>
  <si>
    <t>G/L Account 8000000 – Labor / 8012000 – Production Wages Overhead</t>
  </si>
  <si>
    <t>G/L Account 5190000 – Energy Materials (Production)</t>
  </si>
  <si>
    <t>ACDOCA (Universal Journal) – Account 449400 (Services – Trainings)</t>
  </si>
  <si>
    <t>ACDOCA (Universal Journal) - accounts 65210 (Donations), 6390000 (Non-deductible donations), 6391000 (Donations to science &amp; culture), 6394000 (Donations to political parties)</t>
  </si>
  <si>
    <t>MARA (general material master data) - "Verpackungsmaterial" / packaging material</t>
  </si>
  <si>
    <r>
      <t xml:space="preserve">no training-related information stored in current system; </t>
    </r>
    <r>
      <rPr>
        <b/>
        <sz val="12"/>
        <color rgb="FF00B0F0"/>
        <rFont val="Aptos Narrow (Textkörper)"/>
      </rPr>
      <t>possibly existing within Success Factors / LMS</t>
    </r>
  </si>
  <si>
    <t>possibly existing within Success Factors / LMS</t>
  </si>
  <si>
    <t>possibly existing within Success Factors / LMS / GRC</t>
  </si>
  <si>
    <t>possibly existing within GRC Extension</t>
  </si>
  <si>
    <r>
      <t>no training information within current system;</t>
    </r>
    <r>
      <rPr>
        <b/>
        <sz val="12"/>
        <color rgb="FF00B0F0"/>
        <rFont val="Aptos Narrow (Textkörper)"/>
      </rPr>
      <t xml:space="preserve"> possibly existing within Success Factors / LMS</t>
    </r>
  </si>
  <si>
    <t>see Soc1 + Soc2 for subcategory satisfaction rates; could include other dimensions as well</t>
  </si>
  <si>
    <t>typically includes information on operational and technical incidencts such as incidents related to technical equiment and plant maintanance; could be extended to data privacy</t>
  </si>
  <si>
    <t>includes Absence type "workplace accident"</t>
  </si>
  <si>
    <t>includes Absence type for work-related accidents, but no absence table existing in current system</t>
  </si>
  <si>
    <t>possibly existing within Success Factors</t>
  </si>
  <si>
    <t>possibly existing within PLM extension</t>
  </si>
  <si>
    <t>possibly existing within EHS extension</t>
  </si>
  <si>
    <r>
      <t xml:space="preserve">includes information on employee grouping / rank; </t>
    </r>
    <r>
      <rPr>
        <b/>
        <sz val="12"/>
        <color theme="7"/>
        <rFont val="Aptos Narrow (Textkörper)"/>
      </rPr>
      <t>possibly directly existing within Success Factors / LMS</t>
    </r>
  </si>
  <si>
    <t>includes absence type for parental leave</t>
  </si>
  <si>
    <t>includes absence type for parental leave; could be used for further calculation</t>
  </si>
  <si>
    <t>includes configuration options for notice periodes for termination (T547T) but no other information</t>
  </si>
  <si>
    <t>Relative</t>
  </si>
  <si>
    <t>HR - Personnel Master display / disability field</t>
  </si>
  <si>
    <t>Category</t>
  </si>
  <si>
    <t>Energy</t>
  </si>
  <si>
    <t>Material</t>
  </si>
  <si>
    <t>Waste</t>
  </si>
  <si>
    <t>Emissions</t>
  </si>
  <si>
    <t>Employee Health &amp; Safety</t>
  </si>
  <si>
    <t>Employee Rights &amp; Diversity</t>
  </si>
  <si>
    <t>Supply Chain, Local communities &amp; Ressources</t>
  </si>
  <si>
    <t>Corruption &amp; Fraud</t>
  </si>
  <si>
    <t>Legal Compliance</t>
  </si>
  <si>
    <t>Payment Compliance</t>
  </si>
  <si>
    <t>can be calculated using the standard payment terms and actual payment durations</t>
  </si>
  <si>
    <t>Financial Performance</t>
  </si>
  <si>
    <t>Social Contributions</t>
  </si>
  <si>
    <t>Stakeholder Satisfaction</t>
  </si>
  <si>
    <t>Employee Development &amp; Compensation</t>
  </si>
  <si>
    <t>Number Categories</t>
  </si>
  <si>
    <t>Number Metrics</t>
  </si>
  <si>
    <t>Extendable</t>
  </si>
  <si>
    <t>Land and Water</t>
  </si>
  <si>
    <t>EKKO (Purchasing Document Header) + T052 (Terms of Payment) + PAYR (payment data table)</t>
  </si>
  <si>
    <t>Ratio of the entry level wage by gender compared to local minimum wage
significant locations of operation to the minimum wage</t>
  </si>
  <si>
    <t>pay scale area information can be used to derive the lowest wage level at specific locations and compared with local minimum wage</t>
  </si>
  <si>
    <t>Taxes &amp; Subsidies</t>
  </si>
  <si>
    <t>The number and rate of high-consequence work-related injuries (excluding fatalities)</t>
  </si>
  <si>
    <t>MARA (general material master data) - "Bruttogewicht" / Gross Weight + MSEG (Material document segment)</t>
  </si>
  <si>
    <t>can be calculated using the material weight specified in MARA and the material movement specified in MSEG</t>
  </si>
  <si>
    <t>payments to government by country (Taxes)</t>
  </si>
  <si>
    <t>BSET (tax data document segment) + PAYR (payment data table)</t>
  </si>
  <si>
    <t>directly available</t>
  </si>
  <si>
    <t>indirectly available</t>
  </si>
  <si>
    <t>Directly available</t>
  </si>
  <si>
    <t>Indirectly available</t>
  </si>
  <si>
    <t>Sum Directly available</t>
  </si>
  <si>
    <t>Sum Indirectly available</t>
  </si>
  <si>
    <t>Sum Extendable</t>
  </si>
  <si>
    <t>Sum Not present</t>
  </si>
  <si>
    <t>Environmental Expenditures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</si>
</sst>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Aptos Narrow"/>
      <family val="2"/>
      <scheme val="minor"/>
    </font>
    <font>
      <b/>
      <sz val="12"/>
      <color theme="0"/>
      <name val="Aptos Narrow"/>
      <family val="2"/>
      <scheme val="minor"/>
    </font>
    <font>
      <sz val="12"/>
      <color theme="0"/>
      <name val="Aptos Narrow"/>
      <family val="2"/>
      <scheme val="minor"/>
    </font>
    <font>
      <sz val="8"/>
      <name val="Aptos Narrow"/>
      <family val="2"/>
      <scheme val="minor"/>
    </font>
    <font>
      <sz val="12"/>
      <color theme="5"/>
      <name val="Aptos Narrow"/>
      <family val="2"/>
      <scheme val="minor"/>
    </font>
    <font>
      <sz val="12"/>
      <color theme="8"/>
      <name val="Aptos Narrow"/>
      <family val="2"/>
      <scheme val="minor"/>
    </font>
    <font>
      <sz val="12"/>
      <color theme="9"/>
      <name val="Aptos Narrow"/>
      <family val="2"/>
      <scheme val="minor"/>
    </font>
    <font>
      <sz val="12"/>
      <color rgb="FF006100"/>
      <name val="Aptos Narrow"/>
      <family val="2"/>
      <scheme val="minor"/>
    </font>
    <font>
      <sz val="12"/>
      <color theme="1"/>
      <name val="Aptos Narrow"/>
      <family val="2"/>
      <scheme val="minor"/>
    </font>
    <font>
      <b/>
      <sz val="12"/>
      <color theme="1"/>
      <name val="Aptos Narrow"/>
      <scheme val="minor"/>
    </font>
    <font>
      <b/>
      <sz val="12"/>
      <color theme="7"/>
      <name val="Aptos Narrow"/>
      <scheme val="minor"/>
    </font>
    <font>
      <sz val="12"/>
      <color theme="1"/>
      <name val="Aptos Narrow (Textkörper)"/>
    </font>
    <font>
      <b/>
      <sz val="12"/>
      <color rgb="FF00B0F0"/>
      <name val="Aptos Narrow (Textkörper)"/>
    </font>
    <font>
      <b/>
      <sz val="12"/>
      <color theme="7"/>
      <name val="Aptos Narrow (Textkörper)"/>
    </font>
    <font>
      <b/>
      <sz val="12"/>
      <color theme="1"/>
      <name val="Aptos Narrow"/>
      <family val="2"/>
      <scheme val="minor"/>
    </font>
    <font>
      <sz val="12"/>
      <color theme="1"/>
      <name val="Aptos Narrow"/>
      <scheme val="minor"/>
    </font>
  </fonts>
  <fills count="15">
    <fill>
      <patternFill patternType="none"/>
    </fill>
    <fill>
      <patternFill patternType="gray125"/>
    </fill>
    <fill>
      <patternFill patternType="solid">
        <fgColor theme="9"/>
      </patternFill>
    </fill>
    <fill>
      <patternFill patternType="solid">
        <fgColor theme="1"/>
        <bgColor theme="1"/>
      </patternFill>
    </fill>
    <fill>
      <patternFill patternType="solid">
        <fgColor theme="5"/>
      </patternFill>
    </fill>
    <fill>
      <patternFill patternType="solid">
        <fgColor rgb="FFFF0000"/>
        <bgColor indexed="64"/>
      </patternFill>
    </fill>
    <fill>
      <patternFill patternType="solid">
        <fgColor theme="8"/>
      </patternFill>
    </fill>
    <fill>
      <patternFill patternType="solid">
        <fgColor rgb="FFC6EFCE"/>
      </patternFill>
    </fill>
    <fill>
      <patternFill patternType="solid">
        <fgColor rgb="FF00B0F0"/>
        <bgColor indexed="64"/>
      </patternFill>
    </fill>
    <fill>
      <patternFill patternType="solid">
        <fgColor theme="9"/>
        <bgColor indexed="64"/>
      </patternFill>
    </fill>
    <fill>
      <patternFill patternType="solid">
        <fgColor theme="6"/>
        <bgColor indexed="64"/>
      </patternFill>
    </fill>
    <fill>
      <patternFill patternType="solid">
        <fgColor theme="3"/>
        <bgColor indexed="64"/>
      </patternFill>
    </fill>
    <fill>
      <patternFill patternType="solid">
        <fgColor theme="5" tint="-0.249977111117893"/>
        <bgColor indexed="64"/>
      </patternFill>
    </fill>
    <fill>
      <patternFill patternType="solid">
        <fgColor theme="8"/>
        <bgColor indexed="64"/>
      </patternFill>
    </fill>
    <fill>
      <patternFill patternType="solid">
        <fgColor theme="7"/>
        <bgColor indexed="64"/>
      </patternFill>
    </fill>
  </fills>
  <borders count="5">
    <border>
      <left/>
      <right/>
      <top/>
      <bottom/>
      <diagonal/>
    </border>
    <border>
      <left style="thin">
        <color rgb="FF3F3F3F"/>
      </left>
      <right style="thin">
        <color rgb="FF3F3F3F"/>
      </right>
      <top style="thin">
        <color rgb="FF3F3F3F"/>
      </top>
      <bottom style="thin">
        <color rgb="FF3F3F3F"/>
      </bottom>
      <diagonal/>
    </border>
    <border>
      <left/>
      <right/>
      <top style="thin">
        <color theme="1"/>
      </top>
      <bottom/>
      <diagonal/>
    </border>
    <border>
      <left style="thin">
        <color theme="1"/>
      </left>
      <right/>
      <top/>
      <bottom/>
      <diagonal/>
    </border>
    <border>
      <left/>
      <right/>
      <top style="thin">
        <color theme="1"/>
      </top>
      <bottom style="double">
        <color theme="1"/>
      </bottom>
      <diagonal/>
    </border>
  </borders>
  <cellStyleXfs count="6">
    <xf numFmtId="0" fontId="0" fillId="0" borderId="0"/>
    <xf numFmtId="0" fontId="2" fillId="2"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7" fillId="7" borderId="0" applyNumberFormat="0" applyBorder="0" applyAlignment="0" applyProtection="0"/>
    <xf numFmtId="9" fontId="8" fillId="0" borderId="0" applyFont="0" applyFill="0" applyBorder="0" applyAlignment="0" applyProtection="0"/>
  </cellStyleXfs>
  <cellXfs count="47">
    <xf numFmtId="0" fontId="0" fillId="0" borderId="0" xfId="0"/>
    <xf numFmtId="0" fontId="0" fillId="0" borderId="2" xfId="0" applyBorder="1"/>
    <xf numFmtId="0" fontId="0" fillId="0" borderId="2" xfId="0" applyBorder="1" applyAlignment="1">
      <alignment wrapText="1"/>
    </xf>
    <xf numFmtId="0" fontId="2" fillId="2" borderId="1" xfId="1" applyBorder="1"/>
    <xf numFmtId="0" fontId="1" fillId="3" borderId="3" xfId="0" applyFont="1" applyFill="1" applyBorder="1"/>
    <xf numFmtId="0" fontId="1" fillId="3" borderId="0" xfId="0" applyFont="1" applyFill="1"/>
    <xf numFmtId="0" fontId="4" fillId="0" borderId="0" xfId="0" applyFont="1"/>
    <xf numFmtId="0" fontId="5" fillId="0" borderId="0" xfId="0" applyFont="1"/>
    <xf numFmtId="0" fontId="0" fillId="0" borderId="0" xfId="0" applyAlignment="1">
      <alignment wrapText="1"/>
    </xf>
    <xf numFmtId="0" fontId="6" fillId="0" borderId="0" xfId="0" applyFont="1"/>
    <xf numFmtId="0" fontId="2" fillId="5" borderId="0" xfId="2" applyFill="1"/>
    <xf numFmtId="0" fontId="0" fillId="0" borderId="0" xfId="0" pivotButton="1"/>
    <xf numFmtId="0" fontId="0" fillId="0" borderId="0" xfId="0" applyAlignment="1">
      <alignment horizontal="left"/>
    </xf>
    <xf numFmtId="0" fontId="2" fillId="8" borderId="1" xfId="3" applyFill="1" applyBorder="1"/>
    <xf numFmtId="0" fontId="8" fillId="0" borderId="0" xfId="4" applyFont="1" applyFill="1"/>
    <xf numFmtId="0" fontId="8" fillId="0" borderId="0" xfId="4" applyFont="1" applyFill="1" applyAlignment="1">
      <alignment wrapText="1"/>
    </xf>
    <xf numFmtId="0" fontId="9" fillId="0" borderId="0" xfId="0" applyFont="1"/>
    <xf numFmtId="0" fontId="2" fillId="10" borderId="0" xfId="2" applyFill="1"/>
    <xf numFmtId="0" fontId="0" fillId="10" borderId="0" xfId="0" applyFill="1"/>
    <xf numFmtId="0" fontId="2" fillId="11" borderId="0" xfId="0" applyFont="1" applyFill="1"/>
    <xf numFmtId="0" fontId="2" fillId="10" borderId="0" xfId="0" applyFont="1" applyFill="1"/>
    <xf numFmtId="0" fontId="2" fillId="12" borderId="0" xfId="0" applyFont="1" applyFill="1"/>
    <xf numFmtId="0" fontId="2" fillId="13" borderId="0" xfId="0" applyFont="1" applyFill="1"/>
    <xf numFmtId="0" fontId="0" fillId="9" borderId="0" xfId="0" applyFill="1"/>
    <xf numFmtId="0" fontId="0" fillId="14" borderId="0" xfId="0" applyFill="1"/>
    <xf numFmtId="0" fontId="0" fillId="5" borderId="0" xfId="0" applyFill="1"/>
    <xf numFmtId="0" fontId="0" fillId="0" borderId="4" xfId="0" applyBorder="1"/>
    <xf numFmtId="0" fontId="10" fillId="0" borderId="0" xfId="0" applyFont="1"/>
    <xf numFmtId="0" fontId="0" fillId="0" borderId="0" xfId="0" applyAlignment="1">
      <alignment vertical="center" wrapText="1"/>
    </xf>
    <xf numFmtId="0" fontId="0" fillId="0" borderId="0" xfId="0" applyAlignment="1">
      <alignment vertical="center"/>
    </xf>
    <xf numFmtId="0" fontId="9" fillId="0" borderId="0" xfId="0" applyFont="1" applyAlignment="1">
      <alignment horizontal="center" vertical="center"/>
    </xf>
    <xf numFmtId="0" fontId="11" fillId="0" borderId="0" xfId="0" applyFont="1"/>
    <xf numFmtId="0" fontId="13" fillId="0" borderId="0" xfId="0" applyFont="1"/>
    <xf numFmtId="10" fontId="0" fillId="0" borderId="0" xfId="5" applyNumberFormat="1" applyFont="1"/>
    <xf numFmtId="0" fontId="14" fillId="0" borderId="0" xfId="0" applyFont="1"/>
    <xf numFmtId="0" fontId="2" fillId="5" borderId="0" xfId="2" applyFill="1" applyBorder="1"/>
    <xf numFmtId="0" fontId="2" fillId="10" borderId="0" xfId="2" applyFill="1" applyBorder="1"/>
    <xf numFmtId="0" fontId="15" fillId="0" borderId="0" xfId="4" applyFont="1" applyFill="1"/>
    <xf numFmtId="0" fontId="9" fillId="0" borderId="0" xfId="4" applyFont="1" applyFill="1"/>
    <xf numFmtId="0" fontId="15" fillId="0" borderId="0" xfId="4" applyFont="1" applyFill="1" applyAlignment="1">
      <alignment vertical="center"/>
    </xf>
    <xf numFmtId="9" fontId="0" fillId="0" borderId="0" xfId="5" applyFont="1" applyAlignment="1">
      <alignment horizontal="right" indent="1"/>
    </xf>
    <xf numFmtId="9" fontId="0" fillId="0" borderId="0" xfId="0" applyNumberFormat="1"/>
    <xf numFmtId="164" fontId="8" fillId="0" borderId="0" xfId="5" applyNumberFormat="1" applyFont="1"/>
    <xf numFmtId="164" fontId="0" fillId="0" borderId="0" xfId="5" applyNumberFormat="1" applyFont="1"/>
    <xf numFmtId="164" fontId="0" fillId="0" borderId="0" xfId="0" applyNumberFormat="1"/>
    <xf numFmtId="0" fontId="14" fillId="0" borderId="0" xfId="4" applyFont="1" applyFill="1"/>
    <xf numFmtId="164" fontId="8" fillId="0" borderId="0" xfId="5" applyNumberFormat="1" applyFont="1" applyAlignment="1">
      <alignment horizontal="center"/>
    </xf>
  </cellXfs>
  <cellStyles count="6">
    <cellStyle name="Accent2" xfId="2" builtinId="33"/>
    <cellStyle name="Accent5" xfId="3" builtinId="45"/>
    <cellStyle name="Accent6" xfId="1" builtinId="49"/>
    <cellStyle name="Good" xfId="4" builtinId="26"/>
    <cellStyle name="Normal" xfId="0" builtinId="0"/>
    <cellStyle name="Per cent" xfId="5" builtinId="5"/>
  </cellStyles>
  <dxfs count="9">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ont>
        <strike val="0"/>
        <outline val="0"/>
        <shadow val="0"/>
        <u val="none"/>
        <vertAlign val="baseline"/>
        <sz val="12"/>
        <color theme="0"/>
        <name val="Aptos Narrow"/>
        <family val="2"/>
        <scheme val="minor"/>
      </font>
    </dxf>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s>
  <tableStyles count="0" defaultTableStyle="TableStyleMedium2" defaultPivotStyle="PivotStyleLight16"/>
  <colors>
    <mruColors>
      <color rgb="FFE7E503"/>
      <color rgb="FFD8D701"/>
      <color rgb="FFEDEC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[SAP_Sustainability_Metric_Coverage.xlsx]Overview!PivotTable2</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Overview!$F$24</c:f>
              <c:strCache>
                <c:ptCount val="1"/>
                <c:pt idx="0">
                  <c:v>Sum Directly available</c:v>
                </c:pt>
              </c:strCache>
            </c:strRef>
          </c:tx>
          <c:spPr>
            <a:solidFill>
              <a:schemeClr val="accent6"/>
            </a:solidFill>
            <a:ln>
              <a:noFill/>
            </a:ln>
            <a:effectLst/>
          </c:spPr>
          <c:invertIfNegative val="0"/>
          <c:cat>
            <c:strRef>
              <c:f>Overview!$E$25:$E$29</c:f>
              <c:strCache>
                <c:ptCount val="4"/>
                <c:pt idx="0">
                  <c:v>Economic</c:v>
                </c:pt>
                <c:pt idx="1">
                  <c:v>Environment</c:v>
                </c:pt>
                <c:pt idx="2">
                  <c:v>Governance</c:v>
                </c:pt>
                <c:pt idx="3">
                  <c:v>Social</c:v>
                </c:pt>
              </c:strCache>
            </c:strRef>
          </c:cat>
          <c:val>
            <c:numRef>
              <c:f>Overview!$F$25:$F$29</c:f>
              <c:numCache>
                <c:formatCode>General</c:formatCode>
                <c:ptCount val="4"/>
                <c:pt idx="0">
                  <c:v>9</c:v>
                </c:pt>
                <c:pt idx="1">
                  <c:v>0</c:v>
                </c:pt>
                <c:pt idx="2">
                  <c:v>2</c:v>
                </c:pt>
                <c:pt idx="3">
                  <c:v>4</c:v>
                </c:pt>
              </c:numCache>
            </c:numRef>
          </c:val>
          <c:extLst>
            <c:ext xmlns:c16="http://schemas.microsoft.com/office/drawing/2014/chart" uri="{C3380CC4-5D6E-409C-BE32-E72D297353CC}">
              <c16:uniqueId val="{00000000-9113-F646-B109-0C83B30CE279}"/>
            </c:ext>
          </c:extLst>
        </c:ser>
        <c:ser>
          <c:idx val="1"/>
          <c:order val="1"/>
          <c:tx>
            <c:strRef>
              <c:f>Overview!$G$24</c:f>
              <c:strCache>
                <c:ptCount val="1"/>
                <c:pt idx="0">
                  <c:v>Sum Indirectly available</c:v>
                </c:pt>
              </c:strCache>
            </c:strRef>
          </c:tx>
          <c:spPr>
            <a:solidFill>
              <a:schemeClr val="accent6">
                <a:lumMod val="75000"/>
              </a:schemeClr>
            </a:solidFill>
            <a:ln>
              <a:noFill/>
            </a:ln>
            <a:effectLst/>
          </c:spPr>
          <c:invertIfNegative val="0"/>
          <c:cat>
            <c:strRef>
              <c:f>Overview!$E$25:$E$29</c:f>
              <c:strCache>
                <c:ptCount val="4"/>
                <c:pt idx="0">
                  <c:v>Economic</c:v>
                </c:pt>
                <c:pt idx="1">
                  <c:v>Environment</c:v>
                </c:pt>
                <c:pt idx="2">
                  <c:v>Governance</c:v>
                </c:pt>
                <c:pt idx="3">
                  <c:v>Social</c:v>
                </c:pt>
              </c:strCache>
            </c:strRef>
          </c:cat>
          <c:val>
            <c:numRef>
              <c:f>Overview!$G$25:$G$29</c:f>
              <c:numCache>
                <c:formatCode>General</c:formatCode>
                <c:ptCount val="4"/>
                <c:pt idx="0">
                  <c:v>2</c:v>
                </c:pt>
                <c:pt idx="1">
                  <c:v>1</c:v>
                </c:pt>
                <c:pt idx="2">
                  <c:v>2</c:v>
                </c:pt>
                <c:pt idx="3">
                  <c:v>10</c:v>
                </c:pt>
              </c:numCache>
            </c:numRef>
          </c:val>
          <c:extLst>
            <c:ext xmlns:c16="http://schemas.microsoft.com/office/drawing/2014/chart" uri="{C3380CC4-5D6E-409C-BE32-E72D297353CC}">
              <c16:uniqueId val="{00000002-9113-F646-B109-0C83B30CE279}"/>
            </c:ext>
          </c:extLst>
        </c:ser>
        <c:ser>
          <c:idx val="2"/>
          <c:order val="2"/>
          <c:tx>
            <c:strRef>
              <c:f>Overview!$H$24</c:f>
              <c:strCache>
                <c:ptCount val="1"/>
                <c:pt idx="0">
                  <c:v>Sum Extendable</c:v>
                </c:pt>
              </c:strCache>
            </c:strRef>
          </c:tx>
          <c:spPr>
            <a:solidFill>
              <a:srgbClr val="00B0F0"/>
            </a:solidFill>
            <a:ln>
              <a:noFill/>
            </a:ln>
            <a:effectLst/>
          </c:spPr>
          <c:invertIfNegative val="0"/>
          <c:cat>
            <c:strRef>
              <c:f>Overview!$E$25:$E$29</c:f>
              <c:strCache>
                <c:ptCount val="4"/>
                <c:pt idx="0">
                  <c:v>Economic</c:v>
                </c:pt>
                <c:pt idx="1">
                  <c:v>Environment</c:v>
                </c:pt>
                <c:pt idx="2">
                  <c:v>Governance</c:v>
                </c:pt>
                <c:pt idx="3">
                  <c:v>Social</c:v>
                </c:pt>
              </c:strCache>
            </c:strRef>
          </c:cat>
          <c:val>
            <c:numRef>
              <c:f>Overview!$H$25:$H$29</c:f>
              <c:numCache>
                <c:formatCode>General</c:formatCode>
                <c:ptCount val="4"/>
                <c:pt idx="0">
                  <c:v>5</c:v>
                </c:pt>
                <c:pt idx="1">
                  <c:v>5</c:v>
                </c:pt>
                <c:pt idx="2">
                  <c:v>0</c:v>
                </c:pt>
                <c:pt idx="3">
                  <c:v>18</c:v>
                </c:pt>
              </c:numCache>
            </c:numRef>
          </c:val>
          <c:extLst>
            <c:ext xmlns:c16="http://schemas.microsoft.com/office/drawing/2014/chart" uri="{C3380CC4-5D6E-409C-BE32-E72D297353CC}">
              <c16:uniqueId val="{00000003-9113-F646-B109-0C83B30CE279}"/>
            </c:ext>
          </c:extLst>
        </c:ser>
        <c:ser>
          <c:idx val="3"/>
          <c:order val="3"/>
          <c:tx>
            <c:strRef>
              <c:f>Overview!$I$24</c:f>
              <c:strCache>
                <c:ptCount val="1"/>
                <c:pt idx="0">
                  <c:v>Sum Not present</c:v>
                </c:pt>
              </c:strCache>
            </c:strRef>
          </c:tx>
          <c:spPr>
            <a:solidFill>
              <a:srgbClr val="FF0000"/>
            </a:solidFill>
            <a:ln>
              <a:noFill/>
            </a:ln>
            <a:effectLst/>
          </c:spPr>
          <c:invertIfNegative val="0"/>
          <c:cat>
            <c:strRef>
              <c:f>Overview!$E$25:$E$29</c:f>
              <c:strCache>
                <c:ptCount val="4"/>
                <c:pt idx="0">
                  <c:v>Economic</c:v>
                </c:pt>
                <c:pt idx="1">
                  <c:v>Environment</c:v>
                </c:pt>
                <c:pt idx="2">
                  <c:v>Governance</c:v>
                </c:pt>
                <c:pt idx="3">
                  <c:v>Social</c:v>
                </c:pt>
              </c:strCache>
            </c:strRef>
          </c:cat>
          <c:val>
            <c:numRef>
              <c:f>Overview!$I$25:$I$29</c:f>
              <c:numCache>
                <c:formatCode>General</c:formatCode>
                <c:ptCount val="4"/>
                <c:pt idx="0">
                  <c:v>5</c:v>
                </c:pt>
                <c:pt idx="1">
                  <c:v>40</c:v>
                </c:pt>
                <c:pt idx="2">
                  <c:v>12</c:v>
                </c:pt>
                <c:pt idx="3">
                  <c:v>29</c:v>
                </c:pt>
              </c:numCache>
            </c:numRef>
          </c:val>
          <c:extLst>
            <c:ext xmlns:c16="http://schemas.microsoft.com/office/drawing/2014/chart" uri="{C3380CC4-5D6E-409C-BE32-E72D297353CC}">
              <c16:uniqueId val="{00000004-9113-F646-B109-0C83B30CE279}"/>
            </c:ext>
          </c:extLst>
        </c:ser>
        <c:dLbls>
          <c:showLegendKey val="0"/>
          <c:showVal val="0"/>
          <c:showCatName val="0"/>
          <c:showSerName val="0"/>
          <c:showPercent val="0"/>
          <c:showBubbleSize val="0"/>
        </c:dLbls>
        <c:gapWidth val="219"/>
        <c:overlap val="-27"/>
        <c:axId val="1026816448"/>
        <c:axId val="1039493632"/>
      </c:barChart>
      <c:catAx>
        <c:axId val="102681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39493632"/>
        <c:crosses val="autoZero"/>
        <c:auto val="1"/>
        <c:lblAlgn val="ctr"/>
        <c:lblOffset val="100"/>
        <c:noMultiLvlLbl val="0"/>
      </c:catAx>
      <c:valAx>
        <c:axId val="103949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26816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[SAP_Sustainability_Metric_Coverage.xlsx]Economic!PivotTable1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of Economic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3"/>
          </a:solidFill>
          <a:ln>
            <a:noFill/>
          </a:ln>
          <a:effectLst/>
        </c:spPr>
      </c:pivotFmt>
      <c:pivotFmt>
        <c:idx val="4"/>
        <c:spPr>
          <a:solidFill>
            <a:srgbClr val="FF0000"/>
          </a:solidFill>
          <a:ln>
            <a:noFill/>
          </a:ln>
          <a:effectLst/>
        </c:spPr>
      </c:pivotFmt>
      <c:pivotFmt>
        <c:idx val="5"/>
        <c:spPr>
          <a:solidFill>
            <a:srgbClr val="7030A0"/>
          </a:solidFill>
          <a:ln>
            <a:noFill/>
          </a:ln>
          <a:effectLst/>
        </c:spPr>
      </c:pivotFmt>
      <c:pivotFmt>
        <c:idx val="6"/>
        <c:spPr>
          <a:solidFill>
            <a:srgbClr val="00B0F0"/>
          </a:solidFill>
          <a:ln>
            <a:noFill/>
          </a:ln>
          <a:effectLst/>
        </c:spPr>
      </c:pivotFmt>
      <c:pivotFmt>
        <c:idx val="7"/>
        <c:spPr>
          <a:solidFill>
            <a:srgbClr val="00B050"/>
          </a:solidFill>
          <a:ln>
            <a:noFill/>
          </a:ln>
          <a:effectLst/>
        </c:spPr>
      </c:pivotFmt>
      <c:pivotFmt>
        <c:idx val="8"/>
        <c:spPr>
          <a:solidFill>
            <a:schemeClr val="accent6">
              <a:lumMod val="75000"/>
            </a:schemeClr>
          </a:solidFill>
          <a:ln>
            <a:noFill/>
          </a:ln>
          <a:effectLst/>
        </c:spPr>
      </c:pivotFmt>
    </c:pivotFmts>
    <c:plotArea>
      <c:layout/>
      <c:barChart>
        <c:barDir val="col"/>
        <c:grouping val="clustered"/>
        <c:varyColors val="0"/>
        <c:ser>
          <c:idx val="0"/>
          <c:order val="0"/>
          <c:tx>
            <c:strRef>
              <c:f>Economic!$D$29</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3-1BCE-A343-97CD-87CDF5895AE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4-1BCE-A343-97CD-87CDF5895AE7}"/>
              </c:ext>
            </c:extLst>
          </c:dPt>
          <c:dPt>
            <c:idx val="2"/>
            <c:invertIfNegative val="0"/>
            <c:bubble3D val="0"/>
            <c:spPr>
              <a:solidFill>
                <a:srgbClr val="00B0F0"/>
              </a:solidFill>
              <a:ln>
                <a:noFill/>
              </a:ln>
              <a:effectLst/>
            </c:spPr>
            <c:extLst>
              <c:ext xmlns:c16="http://schemas.microsoft.com/office/drawing/2014/chart" uri="{C3380CC4-5D6E-409C-BE32-E72D297353CC}">
                <c16:uniqueId val="{00000005-1BCE-A343-97CD-87CDF5895AE7}"/>
              </c:ext>
            </c:extLst>
          </c:dPt>
          <c:dPt>
            <c:idx val="3"/>
            <c:invertIfNegative val="0"/>
            <c:bubble3D val="0"/>
            <c:spPr>
              <a:solidFill>
                <a:srgbClr val="FF0000"/>
              </a:solidFill>
              <a:ln>
                <a:noFill/>
              </a:ln>
              <a:effectLst/>
            </c:spPr>
            <c:extLst>
              <c:ext xmlns:c16="http://schemas.microsoft.com/office/drawing/2014/chart" uri="{C3380CC4-5D6E-409C-BE32-E72D297353CC}">
                <c16:uniqueId val="{00000006-1BCE-A343-97CD-87CDF5895A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Economic!$C$30:$C$34</c:f>
              <c:strCache>
                <c:ptCount val="4"/>
                <c:pt idx="0">
                  <c:v>directly available</c:v>
                </c:pt>
                <c:pt idx="1">
                  <c:v>indirectly available</c:v>
                </c:pt>
                <c:pt idx="2">
                  <c:v>extendable</c:v>
                </c:pt>
                <c:pt idx="3">
                  <c:v>not present</c:v>
                </c:pt>
              </c:strCache>
            </c:strRef>
          </c:cat>
          <c:val>
            <c:numRef>
              <c:f>Economic!$D$30:$D$34</c:f>
              <c:numCache>
                <c:formatCode>General</c:formatCode>
                <c:ptCount val="4"/>
                <c:pt idx="0">
                  <c:v>9</c:v>
                </c:pt>
                <c:pt idx="1">
                  <c:v>2</c:v>
                </c:pt>
                <c:pt idx="2">
                  <c:v>5</c:v>
                </c:pt>
                <c:pt idx="3">
                  <c:v>5</c:v>
                </c:pt>
              </c:numCache>
            </c:numRef>
          </c:val>
          <c:extLst>
            <c:ext xmlns:c16="http://schemas.microsoft.com/office/drawing/2014/chart" uri="{C3380CC4-5D6E-409C-BE32-E72D297353CC}">
              <c16:uniqueId val="{00000000-1BCE-A343-97CD-87CDF5895AE7}"/>
            </c:ext>
          </c:extLst>
        </c:ser>
        <c:dLbls>
          <c:dLblPos val="outEnd"/>
          <c:showLegendKey val="0"/>
          <c:showVal val="1"/>
          <c:showCatName val="0"/>
          <c:showSerName val="0"/>
          <c:showPercent val="0"/>
          <c:showBubbleSize val="0"/>
        </c:dLbls>
        <c:gapWidth val="150"/>
        <c:axId val="1780001056"/>
        <c:axId val="1780002768"/>
      </c:barChart>
      <c:catAx>
        <c:axId val="178000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80002768"/>
        <c:crosses val="autoZero"/>
        <c:auto val="1"/>
        <c:lblAlgn val="ctr"/>
        <c:lblOffset val="100"/>
        <c:noMultiLvlLbl val="0"/>
      </c:catAx>
      <c:valAx>
        <c:axId val="178000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8000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[SAP_Sustainability_Metric_Coverage.xlsx]Environment!PivotTable2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Coverage of Environment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pivotFmt>
      <c:pivotFmt>
        <c:idx val="2"/>
        <c:spPr>
          <a:solidFill>
            <a:schemeClr val="accent6"/>
          </a:solidFill>
          <a:ln>
            <a:noFill/>
          </a:ln>
          <a:effectLst/>
        </c:spPr>
      </c:pivotFmt>
      <c:pivotFmt>
        <c:idx val="3"/>
        <c:spPr>
          <a:solidFill>
            <a:schemeClr val="accent5"/>
          </a:solidFill>
          <a:ln>
            <a:noFill/>
          </a:ln>
          <a:effectLst/>
        </c:spPr>
      </c:pivotFmt>
      <c:pivotFmt>
        <c:idx val="4"/>
        <c:spPr>
          <a:solidFill>
            <a:srgbClr val="00B0F0"/>
          </a:solidFill>
          <a:ln>
            <a:noFill/>
          </a:ln>
          <a:effectLst/>
        </c:spPr>
      </c:pivotFmt>
      <c:pivotFmt>
        <c:idx val="5"/>
        <c:spPr>
          <a:solidFill>
            <a:srgbClr val="FF0000"/>
          </a:solidFill>
          <a:ln>
            <a:noFill/>
          </a:ln>
          <a:effectLst/>
        </c:spPr>
      </c:pivotFmt>
      <c:pivotFmt>
        <c:idx val="6"/>
        <c:spPr>
          <a:solidFill>
            <a:schemeClr val="accent3"/>
          </a:solidFill>
          <a:ln>
            <a:noFill/>
          </a:ln>
          <a:effectLst/>
        </c:spPr>
      </c:pivotFmt>
      <c:pivotFmt>
        <c:idx val="7"/>
        <c:spPr>
          <a:solidFill>
            <a:schemeClr val="accent6">
              <a:lumMod val="75000"/>
            </a:schemeClr>
          </a:solidFill>
          <a:ln>
            <a:noFill/>
          </a:ln>
          <a:effectLst/>
        </c:spPr>
      </c:pivotFmt>
    </c:pivotFmts>
    <c:plotArea>
      <c:layout/>
      <c:barChart>
        <c:barDir val="col"/>
        <c:grouping val="clustered"/>
        <c:varyColors val="0"/>
        <c:ser>
          <c:idx val="0"/>
          <c:order val="0"/>
          <c:tx>
            <c:strRef>
              <c:f>Environment!$F$54</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2-1956-D54F-A978-4217C0302C3C}"/>
              </c:ext>
            </c:extLst>
          </c:dPt>
          <c:dPt>
            <c:idx val="1"/>
            <c:invertIfNegative val="0"/>
            <c:bubble3D val="0"/>
            <c:spPr>
              <a:solidFill>
                <a:srgbClr val="00B0F0"/>
              </a:solidFill>
              <a:ln>
                <a:noFill/>
              </a:ln>
              <a:effectLst/>
            </c:spPr>
            <c:extLst>
              <c:ext xmlns:c16="http://schemas.microsoft.com/office/drawing/2014/chart" uri="{C3380CC4-5D6E-409C-BE32-E72D297353CC}">
                <c16:uniqueId val="{00000002-B05D-674D-8857-82D9861EA10D}"/>
              </c:ext>
            </c:extLst>
          </c:dPt>
          <c:dPt>
            <c:idx val="2"/>
            <c:invertIfNegative val="0"/>
            <c:bubble3D val="0"/>
            <c:spPr>
              <a:solidFill>
                <a:srgbClr val="FF0000"/>
              </a:solidFill>
              <a:ln>
                <a:noFill/>
              </a:ln>
              <a:effectLst/>
            </c:spPr>
            <c:extLst>
              <c:ext xmlns:c16="http://schemas.microsoft.com/office/drawing/2014/chart" uri="{C3380CC4-5D6E-409C-BE32-E72D297353CC}">
                <c16:uniqueId val="{00000003-B05D-674D-8857-82D9861EA10D}"/>
              </c:ext>
            </c:extLst>
          </c:dPt>
          <c:dPt>
            <c:idx val="3"/>
            <c:invertIfNegative val="0"/>
            <c:bubble3D val="0"/>
            <c:extLst>
              <c:ext xmlns:c16="http://schemas.microsoft.com/office/drawing/2014/chart" uri="{C3380CC4-5D6E-409C-BE32-E72D297353CC}">
                <c16:uniqueId val="{00000004-B05D-674D-8857-82D9861EA10D}"/>
              </c:ext>
            </c:extLst>
          </c:dPt>
          <c:dPt>
            <c:idx val="4"/>
            <c:invertIfNegative val="0"/>
            <c:bubble3D val="0"/>
            <c:extLst>
              <c:ext xmlns:c16="http://schemas.microsoft.com/office/drawing/2014/chart" uri="{C3380CC4-5D6E-409C-BE32-E72D297353CC}">
                <c16:uniqueId val="{00000005-B05D-674D-8857-82D9861EA10D}"/>
              </c:ext>
            </c:extLst>
          </c:dPt>
          <c:dPt>
            <c:idx val="5"/>
            <c:invertIfNegative val="0"/>
            <c:bubble3D val="0"/>
            <c:extLst>
              <c:ext xmlns:c16="http://schemas.microsoft.com/office/drawing/2014/chart" uri="{C3380CC4-5D6E-409C-BE32-E72D297353CC}">
                <c16:uniqueId val="{0000000B-83CE-F14D-96B6-9A2B90ECF8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Environment!$E$55:$E$58</c:f>
              <c:strCache>
                <c:ptCount val="3"/>
                <c:pt idx="0">
                  <c:v>indirectly available</c:v>
                </c:pt>
                <c:pt idx="1">
                  <c:v>extendable</c:v>
                </c:pt>
                <c:pt idx="2">
                  <c:v>not present</c:v>
                </c:pt>
              </c:strCache>
            </c:strRef>
          </c:cat>
          <c:val>
            <c:numRef>
              <c:f>Environment!$F$55:$F$58</c:f>
              <c:numCache>
                <c:formatCode>General</c:formatCode>
                <c:ptCount val="3"/>
                <c:pt idx="0">
                  <c:v>1</c:v>
                </c:pt>
                <c:pt idx="1">
                  <c:v>5</c:v>
                </c:pt>
                <c:pt idx="2">
                  <c:v>40</c:v>
                </c:pt>
              </c:numCache>
            </c:numRef>
          </c:val>
          <c:extLst>
            <c:ext xmlns:c16="http://schemas.microsoft.com/office/drawing/2014/chart" uri="{C3380CC4-5D6E-409C-BE32-E72D297353CC}">
              <c16:uniqueId val="{00000000-1956-D54F-A978-4217C0302C3C}"/>
            </c:ext>
          </c:extLst>
        </c:ser>
        <c:dLbls>
          <c:dLblPos val="outEnd"/>
          <c:showLegendKey val="0"/>
          <c:showVal val="1"/>
          <c:showCatName val="0"/>
          <c:showSerName val="0"/>
          <c:showPercent val="0"/>
          <c:showBubbleSize val="0"/>
        </c:dLbls>
        <c:gapWidth val="150"/>
        <c:axId val="1779312080"/>
        <c:axId val="645961792"/>
      </c:barChart>
      <c:catAx>
        <c:axId val="17793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5961792"/>
        <c:crosses val="autoZero"/>
        <c:auto val="1"/>
        <c:lblAlgn val="ctr"/>
        <c:lblOffset val="100"/>
        <c:noMultiLvlLbl val="0"/>
      </c:catAx>
      <c:valAx>
        <c:axId val="645961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79312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[SAP_Sustainability_Metric_Coverage.xlsx]Social!PivotTable1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of</a:t>
            </a:r>
            <a:r>
              <a:rPr lang="en-US" baseline="0"/>
              <a:t> </a:t>
            </a:r>
            <a:r>
              <a:rPr lang="en-US"/>
              <a:t>Social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5"/>
          </a:solidFill>
          <a:ln>
            <a:noFill/>
          </a:ln>
          <a:effectLst/>
        </c:spPr>
      </c:pivotFmt>
      <c:pivotFmt>
        <c:idx val="3"/>
        <c:spPr>
          <a:solidFill>
            <a:schemeClr val="accent3"/>
          </a:solidFill>
          <a:ln>
            <a:noFill/>
          </a:ln>
          <a:effectLst/>
        </c:spPr>
      </c:pivotFmt>
      <c:pivotFmt>
        <c:idx val="4"/>
        <c:spPr>
          <a:solidFill>
            <a:srgbClr val="FF0000"/>
          </a:solidFill>
          <a:ln>
            <a:noFill/>
          </a:ln>
          <a:effectLst/>
        </c:spPr>
      </c:pivotFmt>
      <c:pivotFmt>
        <c:idx val="5"/>
        <c:spPr>
          <a:solidFill>
            <a:srgbClr val="00B0F0"/>
          </a:solidFill>
          <a:ln>
            <a:noFill/>
          </a:ln>
          <a:effectLst/>
        </c:spPr>
      </c:pivotFmt>
      <c:pivotFmt>
        <c:idx val="6"/>
        <c:spPr>
          <a:solidFill>
            <a:srgbClr val="00B050"/>
          </a:solidFill>
          <a:ln>
            <a:noFill/>
          </a:ln>
          <a:effectLst/>
        </c:spPr>
      </c:pivotFmt>
      <c:pivotFmt>
        <c:idx val="7"/>
        <c:spPr>
          <a:solidFill>
            <a:schemeClr val="accent6">
              <a:lumMod val="75000"/>
            </a:schemeClr>
          </a:solidFill>
          <a:ln>
            <a:noFill/>
          </a:ln>
          <a:effectLst/>
        </c:spPr>
      </c:pivotFmt>
    </c:pivotFmts>
    <c:plotArea>
      <c:layout/>
      <c:barChart>
        <c:barDir val="col"/>
        <c:grouping val="clustered"/>
        <c:varyColors val="0"/>
        <c:ser>
          <c:idx val="0"/>
          <c:order val="0"/>
          <c:tx>
            <c:strRef>
              <c:f>Social!$E$69</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5CA7-A74B-BFE5-1D8E6C1AE9F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CA7-A74B-BFE5-1D8E6C1AE9F5}"/>
              </c:ext>
            </c:extLst>
          </c:dPt>
          <c:dPt>
            <c:idx val="2"/>
            <c:invertIfNegative val="0"/>
            <c:bubble3D val="0"/>
            <c:spPr>
              <a:solidFill>
                <a:srgbClr val="00B0F0"/>
              </a:solidFill>
              <a:ln>
                <a:noFill/>
              </a:ln>
              <a:effectLst/>
            </c:spPr>
            <c:extLst>
              <c:ext xmlns:c16="http://schemas.microsoft.com/office/drawing/2014/chart" uri="{C3380CC4-5D6E-409C-BE32-E72D297353CC}">
                <c16:uniqueId val="{00000005-7039-8F42-A891-D90DFE6D46D6}"/>
              </c:ext>
            </c:extLst>
          </c:dPt>
          <c:dPt>
            <c:idx val="3"/>
            <c:invertIfNegative val="0"/>
            <c:bubble3D val="0"/>
            <c:spPr>
              <a:solidFill>
                <a:srgbClr val="FF0000"/>
              </a:solidFill>
              <a:ln>
                <a:noFill/>
              </a:ln>
              <a:effectLst/>
            </c:spPr>
            <c:extLst>
              <c:ext xmlns:c16="http://schemas.microsoft.com/office/drawing/2014/chart" uri="{C3380CC4-5D6E-409C-BE32-E72D297353CC}">
                <c16:uniqueId val="{00000007-66A0-5040-81F3-4947AD893A17}"/>
              </c:ext>
            </c:extLst>
          </c:dPt>
          <c:dPt>
            <c:idx val="4"/>
            <c:invertIfNegative val="0"/>
            <c:bubble3D val="0"/>
            <c:extLst>
              <c:ext xmlns:c16="http://schemas.microsoft.com/office/drawing/2014/chart" uri="{C3380CC4-5D6E-409C-BE32-E72D297353CC}">
                <c16:uniqueId val="{00000006-66A0-5040-81F3-4947AD893A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Social!$D$70:$D$74</c:f>
              <c:strCache>
                <c:ptCount val="4"/>
                <c:pt idx="0">
                  <c:v>directly available</c:v>
                </c:pt>
                <c:pt idx="1">
                  <c:v>indirectly available</c:v>
                </c:pt>
                <c:pt idx="2">
                  <c:v>extendable</c:v>
                </c:pt>
                <c:pt idx="3">
                  <c:v>not present</c:v>
                </c:pt>
              </c:strCache>
            </c:strRef>
          </c:cat>
          <c:val>
            <c:numRef>
              <c:f>Social!$E$70:$E$74</c:f>
              <c:numCache>
                <c:formatCode>General</c:formatCode>
                <c:ptCount val="4"/>
                <c:pt idx="0">
                  <c:v>4</c:v>
                </c:pt>
                <c:pt idx="1">
                  <c:v>10</c:v>
                </c:pt>
                <c:pt idx="2">
                  <c:v>18</c:v>
                </c:pt>
                <c:pt idx="3">
                  <c:v>29</c:v>
                </c:pt>
              </c:numCache>
            </c:numRef>
          </c:val>
          <c:extLst>
            <c:ext xmlns:c16="http://schemas.microsoft.com/office/drawing/2014/chart" uri="{C3380CC4-5D6E-409C-BE32-E72D297353CC}">
              <c16:uniqueId val="{00000000-5CA7-A74B-BFE5-1D8E6C1AE9F5}"/>
            </c:ext>
          </c:extLst>
        </c:ser>
        <c:dLbls>
          <c:dLblPos val="outEnd"/>
          <c:showLegendKey val="0"/>
          <c:showVal val="1"/>
          <c:showCatName val="0"/>
          <c:showSerName val="0"/>
          <c:showPercent val="0"/>
          <c:showBubbleSize val="0"/>
        </c:dLbls>
        <c:gapWidth val="150"/>
        <c:axId val="1031959407"/>
        <c:axId val="1031961119"/>
      </c:barChart>
      <c:catAx>
        <c:axId val="103195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31961119"/>
        <c:crosses val="autoZero"/>
        <c:auto val="1"/>
        <c:lblAlgn val="ctr"/>
        <c:lblOffset val="100"/>
        <c:noMultiLvlLbl val="0"/>
      </c:catAx>
      <c:valAx>
        <c:axId val="103196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31959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[SAP_Sustainability_Metric_Coverage.xlsx]Governance!PivotTable2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of Governance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3"/>
          </a:solidFill>
          <a:ln>
            <a:noFill/>
          </a:ln>
          <a:effectLst/>
        </c:spPr>
      </c:pivotFmt>
      <c:pivotFmt>
        <c:idx val="3"/>
        <c:spPr>
          <a:solidFill>
            <a:srgbClr val="FF0000"/>
          </a:solidFill>
          <a:ln>
            <a:noFill/>
          </a:ln>
          <a:effectLst/>
        </c:spPr>
      </c:pivotFmt>
      <c:pivotFmt>
        <c:idx val="4"/>
        <c:spPr>
          <a:solidFill>
            <a:schemeClr val="accent5"/>
          </a:solidFill>
          <a:ln>
            <a:noFill/>
          </a:ln>
          <a:effectLst/>
        </c:spPr>
      </c:pivotFmt>
      <c:pivotFmt>
        <c:idx val="5"/>
        <c:spPr>
          <a:solidFill>
            <a:srgbClr val="00B0F0"/>
          </a:solidFill>
          <a:ln>
            <a:noFill/>
          </a:ln>
          <a:effectLst/>
        </c:spPr>
      </c:pivotFmt>
      <c:pivotFmt>
        <c:idx val="6"/>
        <c:spPr>
          <a:solidFill>
            <a:srgbClr val="00B050"/>
          </a:solidFill>
          <a:ln>
            <a:noFill/>
          </a:ln>
          <a:effectLst/>
        </c:spPr>
      </c:pivotFmt>
      <c:pivotFmt>
        <c:idx val="7"/>
        <c:spPr>
          <a:solidFill>
            <a:schemeClr val="accent6">
              <a:lumMod val="75000"/>
            </a:schemeClr>
          </a:solidFill>
          <a:ln>
            <a:noFill/>
          </a:ln>
          <a:effectLst/>
        </c:spPr>
      </c:pivotFmt>
    </c:pivotFmts>
    <c:plotArea>
      <c:layout/>
      <c:barChart>
        <c:barDir val="col"/>
        <c:grouping val="clustered"/>
        <c:varyColors val="0"/>
        <c:ser>
          <c:idx val="0"/>
          <c:order val="0"/>
          <c:tx>
            <c:strRef>
              <c:f>Governance!$E$24</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A8D2-F844-809A-BCB52898503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14E4-6349-B593-88488784D239}"/>
              </c:ext>
            </c:extLst>
          </c:dPt>
          <c:dPt>
            <c:idx val="2"/>
            <c:invertIfNegative val="0"/>
            <c:bubble3D val="0"/>
            <c:spPr>
              <a:solidFill>
                <a:srgbClr val="FF0000"/>
              </a:solidFill>
              <a:ln>
                <a:noFill/>
              </a:ln>
              <a:effectLst/>
            </c:spPr>
            <c:extLst>
              <c:ext xmlns:c16="http://schemas.microsoft.com/office/drawing/2014/chart" uri="{C3380CC4-5D6E-409C-BE32-E72D297353CC}">
                <c16:uniqueId val="{00000003-14E4-6349-B593-88488784D239}"/>
              </c:ext>
            </c:extLst>
          </c:dPt>
          <c:dPt>
            <c:idx val="3"/>
            <c:invertIfNegative val="0"/>
            <c:bubble3D val="0"/>
            <c:extLst>
              <c:ext xmlns:c16="http://schemas.microsoft.com/office/drawing/2014/chart" uri="{C3380CC4-5D6E-409C-BE32-E72D297353CC}">
                <c16:uniqueId val="{00000004-14E4-6349-B593-88488784D2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Governance!$D$25:$D$28</c:f>
              <c:strCache>
                <c:ptCount val="3"/>
                <c:pt idx="0">
                  <c:v>directly available</c:v>
                </c:pt>
                <c:pt idx="1">
                  <c:v>indirectly available</c:v>
                </c:pt>
                <c:pt idx="2">
                  <c:v>not present</c:v>
                </c:pt>
              </c:strCache>
            </c:strRef>
          </c:cat>
          <c:val>
            <c:numRef>
              <c:f>Governance!$E$25:$E$28</c:f>
              <c:numCache>
                <c:formatCode>General</c:formatCode>
                <c:ptCount val="3"/>
                <c:pt idx="0">
                  <c:v>2</c:v>
                </c:pt>
                <c:pt idx="1">
                  <c:v>2</c:v>
                </c:pt>
                <c:pt idx="2">
                  <c:v>12</c:v>
                </c:pt>
              </c:numCache>
            </c:numRef>
          </c:val>
          <c:extLst>
            <c:ext xmlns:c16="http://schemas.microsoft.com/office/drawing/2014/chart" uri="{C3380CC4-5D6E-409C-BE32-E72D297353CC}">
              <c16:uniqueId val="{00000000-A8D2-F844-809A-BCB528985032}"/>
            </c:ext>
          </c:extLst>
        </c:ser>
        <c:dLbls>
          <c:dLblPos val="outEnd"/>
          <c:showLegendKey val="0"/>
          <c:showVal val="1"/>
          <c:showCatName val="0"/>
          <c:showSerName val="0"/>
          <c:showPercent val="0"/>
          <c:showBubbleSize val="0"/>
        </c:dLbls>
        <c:gapWidth val="150"/>
        <c:axId val="1164236191"/>
        <c:axId val="1164665727"/>
      </c:barChart>
      <c:catAx>
        <c:axId val="11642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665727"/>
        <c:crosses val="autoZero"/>
        <c:auto val="1"/>
        <c:lblAlgn val="ctr"/>
        <c:lblOffset val="100"/>
        <c:noMultiLvlLbl val="0"/>
      </c:catAx>
      <c:valAx>
        <c:axId val="116466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2361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2070265</xdr:colOff>
      <xdr:row>18</xdr:row>
      <xdr:rowOff>108627</xdr:rowOff>
    </xdr:from>
    <xdr:to>
      <xdr:col>9</xdr:col>
      <xdr:colOff>810964</xdr:colOff>
      <xdr:row>32</xdr:row>
      <xdr:rowOff>11296</xdr:rowOff>
    </xdr:to>
    <xdr:graphicFrame macro="">
      <xdr:nvGraphicFramePr>
        <xdr:cNvPr id="4" name="Diagramm 3">
          <a:extLst>
            <a:ext uri="{FF2B5EF4-FFF2-40B4-BE49-F238E27FC236}">
              <a16:creationId xmlns:a16="http://schemas.microsoft.com/office/drawing/2014/main" id="{5AC38667-6465-34F2-FFB5-DE656FC61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2519104</xdr:colOff>
      <xdr:row>36</xdr:row>
      <xdr:rowOff>66785</xdr:rowOff>
    </xdr:from>
    <xdr:to>
      <xdr:col>4</xdr:col>
      <xdr:colOff>5268842</xdr:colOff>
      <xdr:row>50</xdr:row>
      <xdr:rowOff>52186</xdr:rowOff>
    </xdr:to>
    <xdr:graphicFrame macro="">
      <xdr:nvGraphicFramePr>
        <xdr:cNvPr id="2" name="Diagramm 1">
          <a:extLst>
            <a:ext uri="{FF2B5EF4-FFF2-40B4-BE49-F238E27FC236}">
              <a16:creationId xmlns:a16="http://schemas.microsoft.com/office/drawing/2014/main" id="{68B969CC-65E2-A4D9-CBE4-36AD2581A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1404583</xdr:colOff>
      <xdr:row>61</xdr:row>
      <xdr:rowOff>44215</xdr:rowOff>
    </xdr:from>
    <xdr:to>
      <xdr:col>5</xdr:col>
      <xdr:colOff>2066119</xdr:colOff>
      <xdr:row>76</xdr:row>
      <xdr:rowOff>179021</xdr:rowOff>
    </xdr:to>
    <xdr:graphicFrame macro="">
      <xdr:nvGraphicFramePr>
        <xdr:cNvPr id="2" name="Diagramm 1">
          <a:extLst>
            <a:ext uri="{FF2B5EF4-FFF2-40B4-BE49-F238E27FC236}">
              <a16:creationId xmlns:a16="http://schemas.microsoft.com/office/drawing/2014/main" id="{32D33677-4DFA-FCF6-2492-F795FEA51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5828832</xdr:colOff>
      <xdr:row>67</xdr:row>
      <xdr:rowOff>86352</xdr:rowOff>
    </xdr:from>
    <xdr:to>
      <xdr:col>6</xdr:col>
      <xdr:colOff>76783</xdr:colOff>
      <xdr:row>80</xdr:row>
      <xdr:rowOff>185277</xdr:rowOff>
    </xdr:to>
    <xdr:graphicFrame macro="">
      <xdr:nvGraphicFramePr>
        <xdr:cNvPr id="2" name="Diagramm 1">
          <a:extLst>
            <a:ext uri="{FF2B5EF4-FFF2-40B4-BE49-F238E27FC236}">
              <a16:creationId xmlns:a16="http://schemas.microsoft.com/office/drawing/2014/main" id="{A6DE9371-7368-2505-BA69-44F09BE2B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3156072</xdr:colOff>
      <xdr:row>34</xdr:row>
      <xdr:rowOff>61923</xdr:rowOff>
    </xdr:from>
    <xdr:to>
      <xdr:col>5</xdr:col>
      <xdr:colOff>1785230</xdr:colOff>
      <xdr:row>47</xdr:row>
      <xdr:rowOff>176577</xdr:rowOff>
    </xdr:to>
    <xdr:graphicFrame macro="">
      <xdr:nvGraphicFramePr>
        <xdr:cNvPr id="2" name="Diagramm 1">
          <a:extLst>
            <a:ext uri="{FF2B5EF4-FFF2-40B4-BE49-F238E27FC236}">
              <a16:creationId xmlns:a16="http://schemas.microsoft.com/office/drawing/2014/main" id="{651877CF-33D3-CC21-0DAC-59AD1964C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055555" createdVersion="8" refreshedVersion="8" minRefreshableVersion="3" recordCount="61" xr:uid="{7321D5E2-5CF0-B242-AF10-2C35D0776E91}">
  <cacheSource type="worksheet">
    <worksheetSource name="Tabelle3"/>
  </cacheSource>
  <cacheFields count="7">
    <cacheField name="ID" numFmtId="0">
      <sharedItems/>
    </cacheField>
    <cacheField name="Category" numFmtId="0">
      <sharedItems/>
    </cacheField>
    <cacheField name="Process-Level Metric" numFmtId="0">
      <sharedItems/>
    </cacheField>
    <cacheField name="Source" numFmtId="0">
      <sharedItems/>
    </cacheField>
    <cacheField name="SAP Status" numFmtId="0">
      <sharedItems containsBlank="1" count="8">
        <s v="extendable"/>
        <s v="not present"/>
        <s v="directly available"/>
        <s v="indirectly available"/>
        <s v="indirect" u="1"/>
        <s v="existing" u="1"/>
        <s v="potential" u="1"/>
        <m u="1"/>
      </sharedItems>
    </cacheField>
    <cacheField name="SAP Location"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171294" createdVersion="8" refreshedVersion="8" minRefreshableVersion="3" recordCount="21" xr:uid="{7D23BCAD-93D4-2941-A227-EBA48F03E95B}">
  <cacheSource type="worksheet">
    <worksheetSource name="Tabelle1"/>
  </cacheSource>
  <cacheFields count="7">
    <cacheField name="ID" numFmtId="0">
      <sharedItems/>
    </cacheField>
    <cacheField name="Category" numFmtId="0">
      <sharedItems/>
    </cacheField>
    <cacheField name="Process-Level Metric" numFmtId="0">
      <sharedItems/>
    </cacheField>
    <cacheField name="Source" numFmtId="0">
      <sharedItems/>
    </cacheField>
    <cacheField name="SAP Status" numFmtId="0">
      <sharedItems containsBlank="1" count="8">
        <s v="directly available"/>
        <s v="extendable"/>
        <s v="indirectly available"/>
        <s v="not present"/>
        <s v="existing" u="1"/>
        <s v="indirect" u="1"/>
        <s v="potential" u="1"/>
        <m u="1"/>
      </sharedItems>
    </cacheField>
    <cacheField name="SAP Location / Table"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171294" createdVersion="8" refreshedVersion="8" minRefreshableVersion="3" recordCount="46" xr:uid="{823519A0-D5AF-F54E-8AA7-70533314ACC9}">
  <cacheSource type="worksheet">
    <worksheetSource name="Tabelle2"/>
  </cacheSource>
  <cacheFields count="7">
    <cacheField name="ID" numFmtId="0">
      <sharedItems/>
    </cacheField>
    <cacheField name="Category" numFmtId="0">
      <sharedItems/>
    </cacheField>
    <cacheField name="Process-Level Metric" numFmtId="0">
      <sharedItems/>
    </cacheField>
    <cacheField name="Source" numFmtId="0">
      <sharedItems/>
    </cacheField>
    <cacheField name="SAP Status" numFmtId="0">
      <sharedItems containsBlank="1" count="8">
        <s v="not present"/>
        <s v="extendable"/>
        <s v="indirectly available"/>
        <s v="indirect" u="1"/>
        <s v="existing" u="1"/>
        <s v="included in project application" u="1"/>
        <m u="1"/>
        <s v="potential" u="1"/>
      </sharedItems>
    </cacheField>
    <cacheField name="SAP Location"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28704" createdVersion="8" refreshedVersion="8" minRefreshableVersion="3" recordCount="16" xr:uid="{4F346BF9-385D-0E4C-AAE3-17963D2D3D36}">
  <cacheSource type="worksheet">
    <worksheetSource name="Tabelle4"/>
  </cacheSource>
  <cacheFields count="7">
    <cacheField name="ID" numFmtId="0">
      <sharedItems/>
    </cacheField>
    <cacheField name="Category" numFmtId="0">
      <sharedItems containsBlank="1"/>
    </cacheField>
    <cacheField name="Process-Level Metric" numFmtId="0">
      <sharedItems/>
    </cacheField>
    <cacheField name="Source" numFmtId="0">
      <sharedItems/>
    </cacheField>
    <cacheField name="SAP Status" numFmtId="0">
      <sharedItems containsBlank="1" count="8">
        <s v="indirectly available"/>
        <s v="not present"/>
        <s v="directly available"/>
        <s v="indirect" u="1"/>
        <s v="existing" u="1"/>
        <s v="extendable" u="1"/>
        <s v="potential" u="1"/>
        <m u="1"/>
      </sharedItems>
    </cacheField>
    <cacheField name="SAP Location"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400517824077" createdVersion="8" refreshedVersion="8" minRefreshableVersion="3" recordCount="4" xr:uid="{FC458D05-EB83-734F-A62A-A08CFDB138B0}">
  <cacheSource type="worksheet">
    <worksheetSource name="Tabelle6"/>
  </cacheSource>
  <cacheFields count="5">
    <cacheField name="Sustainability Category" numFmtId="0">
      <sharedItems count="4">
        <s v="Economic"/>
        <s v="Environment"/>
        <s v="Social"/>
        <s v="Governance"/>
      </sharedItems>
    </cacheField>
    <cacheField name="Directly available" numFmtId="0">
      <sharedItems containsSemiMixedTypes="0" containsString="0" containsNumber="1" containsInteger="1" minValue="0" maxValue="9"/>
    </cacheField>
    <cacheField name="Indirectly available" numFmtId="0">
      <sharedItems containsSemiMixedTypes="0" containsString="0" containsNumber="1" containsInteger="1" minValue="1" maxValue="10"/>
    </cacheField>
    <cacheField name="Extendable" numFmtId="0">
      <sharedItems containsSemiMixedTypes="0" containsString="0" containsNumber="1" containsInteger="1" minValue="0" maxValue="18"/>
    </cacheField>
    <cacheField name="Not present" numFmtId="0">
      <sharedItems containsSemiMixedTypes="0" containsString="0" containsNumber="1" containsInteger="1" minValue="5" maxValue="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Soc1"/>
    <s v="Stakeholder Satisfaction"/>
    <s v="Percentage of stakeholders who are content with the business processes"/>
    <s v="Wolf et al., 2025"/>
    <x v="0"/>
    <m/>
    <s v="see Soc1 + Soc2 for subcategory satisfaction rates; could include other dimensions as well"/>
  </r>
  <r>
    <s v="Soc2"/>
    <s v="Stakeholder Satisfaction"/>
    <s v="Percentage of customers who are content with the products or services"/>
    <s v="Wolf et al., 2025"/>
    <x v="0"/>
    <s v="KNVV (Customer Master Sales Data)"/>
    <s v="could be extended with information from surveys, complaints or other feedback channels"/>
  </r>
  <r>
    <s v="Soc3"/>
    <s v="Stakeholder Satisfaction"/>
    <s v="Percentage of employees who are content with the work environment"/>
    <s v="Wolf et al., 2025"/>
    <x v="0"/>
    <s v="PA0002 (HR - staff data)"/>
    <s v="could be extended with information from surveys, complaints or other feedback channels"/>
  </r>
  <r>
    <s v="Soc4"/>
    <s v="Stakeholder Satisfaction"/>
    <s v="Percentage of local community members content with the business’ impact on the community"/>
    <s v="Wolf et al., 2025"/>
    <x v="1"/>
    <m/>
    <m/>
  </r>
  <r>
    <s v="Soc5"/>
    <s v="Stakeholder Satisfaction"/>
    <s v="Total number of substantiated complaints received concerning breaches of customer privacy"/>
    <s v="GRI 418-1"/>
    <x v="0"/>
    <s v="QMEL (Quality Management Notifications)"/>
    <s v="typically includes information on operational and technical incidencts such as incidents related to technical equiment and plant maintanance; could be extended to data privacy"/>
  </r>
  <r>
    <s v="Soc6"/>
    <s v="Stakeholder Satisfaction"/>
    <s v="Total number of identified leaks, thefts, or losses of customer data"/>
    <s v="GRI 418-1"/>
    <x v="0"/>
    <s v="QMEL (Quality Management Notifications)"/>
    <s v="typically includes information on operational and technical incidencts such as incidents related to technical equiment and plant maintanance; could be extended to data privacy"/>
  </r>
  <r>
    <s v="Soc7"/>
    <s v="Employee Health &amp; Safety"/>
    <s v="Number of cases of recordable work-related ill health"/>
    <s v="ESRS DR S1-14"/>
    <x v="0"/>
    <s v="T554S (Absence Types)"/>
    <s v="includes category for work-related illness"/>
  </r>
  <r>
    <s v="Soc8"/>
    <s v="Employee Health &amp; Safety"/>
    <s v="Percentage of significant product and service categories for which health and safety impacts are assessed for improvement"/>
    <s v="GRI 416-1"/>
    <x v="1"/>
    <m/>
    <s v="possibly existing within EHS Extension"/>
  </r>
  <r>
    <s v="Soc9"/>
    <s v="Employee Health &amp; Safety"/>
    <s v="Count of accidents or incidents that occur in a business activity"/>
    <s v="Wolf et al., 2025"/>
    <x v="0"/>
    <s v="T554S (Absence Types)"/>
    <s v="includes Absence type &quot;workplace accident&quot;"/>
  </r>
  <r>
    <s v="Soc10"/>
    <s v="Employee Health &amp; Safety"/>
    <s v="The number and rate of recordable work-related injuries"/>
    <s v="GRI 403-9"/>
    <x v="0"/>
    <s v="T554S (Absence Types)"/>
    <s v="includes Absence type for work-related accidents, but no absence table existing in current system"/>
  </r>
  <r>
    <s v="Soc11"/>
    <s v="Employee Health &amp; Safety"/>
    <s v="The number and rate of fatalities as a result of work-related injury + The number of fatalities as a result of work-related ill health"/>
    <s v="GRI 403-9 + GRI 403-10"/>
    <x v="1"/>
    <m/>
    <s v="possibly existing within EHS Extension"/>
  </r>
  <r>
    <s v="Soc12"/>
    <s v="Employee Health &amp; Safety"/>
    <s v="The number and rate of high-consequence work-related injuries (excluding fatalities)"/>
    <s v="GRI 403-9"/>
    <x v="1"/>
    <m/>
    <s v="possibly existing within EHS Extension"/>
  </r>
  <r>
    <s v="Soc13"/>
    <s v="Employee Health &amp; Safety"/>
    <s v="Number of fatalities as result of work-related injuries and work-related ill health of other workers working on undertaking's sites"/>
    <s v="ESRS DR S1-16"/>
    <x v="1"/>
    <m/>
    <s v="possibly existing within EHS Extension"/>
  </r>
  <r>
    <s v="Soc14"/>
    <s v="Employee Health &amp; Safety"/>
    <s v="Number of days employees are absent due to illness"/>
    <s v="Wolf et al., 2025"/>
    <x v="2"/>
    <s v="PA0050 (HR - time tracking)"/>
    <s v="currently no entries"/>
  </r>
  <r>
    <s v="Soc15"/>
    <s v="Employee Health &amp; Safety"/>
    <s v="Number of workdays employees are absent due to injuries sustained from work-related accidents"/>
    <s v="Wolf et al., 2025"/>
    <x v="0"/>
    <s v="T554S (Absence Types)"/>
    <s v="includes category for work-related accidents, but no absence table existing in current system"/>
  </r>
  <r>
    <s v="Soc16"/>
    <s v="Employee Health &amp; Safety"/>
    <s v="The number of hours worked"/>
    <s v="GRI 403-9"/>
    <x v="2"/>
    <s v="PA0007 (HR - working hours) / PA0050 (HR - time tracking)"/>
    <s v="currently no entries"/>
  </r>
  <r>
    <s v="Soc17"/>
    <s v="Employee Health &amp; Safety"/>
    <s v="Percentage of own workers who are covered by the undertaking’s health and safety management system"/>
    <s v="ESRS DR S1-14"/>
    <x v="1"/>
    <m/>
    <m/>
  </r>
  <r>
    <s v="Soc18"/>
    <s v="Employee Health &amp; Safety"/>
    <s v="Percentage of employees entitled to take family-related leaves"/>
    <s v="ESRS DR S1-14"/>
    <x v="1"/>
    <m/>
    <m/>
  </r>
  <r>
    <s v="Soc19"/>
    <s v="Employee Health &amp; Safety"/>
    <s v="Percentage of entitled employees that took family-related leave"/>
    <s v="ESRS DR S1-14"/>
    <x v="0"/>
    <s v="T554S (Absence Types)"/>
    <s v="includes absence type for parental leave"/>
  </r>
  <r>
    <s v="Soc20"/>
    <s v="Employee Health &amp; Safety"/>
    <s v="Total number of employees that returned to work in the reporting period after parental leave ended, by gender"/>
    <s v="GRI 401-3"/>
    <x v="0"/>
    <s v="T554S (Absence Types)"/>
    <s v="includes absence type for parental leave; could be used for further calculation"/>
  </r>
  <r>
    <s v="Soc21"/>
    <s v="Employee Health &amp; Safety"/>
    <s v="Return to work and retention rates of employees that took parental leave, by gender"/>
    <s v="GRI 401-3"/>
    <x v="0"/>
    <s v="T554S (Absence Types)"/>
    <s v="includes absence type for parental leave; could be used for further calculation"/>
  </r>
  <r>
    <s v="Soc22"/>
    <s v="Employee Health &amp; Safety"/>
    <s v="Minimum number of weeks’ notice typically provided to employees and their representatives prior to the implementation of significant operational changes that could substantially affect them"/>
    <s v="GRI 402-1"/>
    <x v="1"/>
    <m/>
    <s v="includes configuration options for notice periodes for termination (T547T) but no other information"/>
  </r>
  <r>
    <s v="Soc23"/>
    <s v="Employee Health &amp; Safety"/>
    <s v="Number of actions or tasks that can potentially introduce risks or uncertainties"/>
    <s v="Wolf et al., 2025"/>
    <x v="1"/>
    <m/>
    <m/>
  </r>
  <r>
    <s v="Soc24"/>
    <s v="Employee Health &amp; Safety"/>
    <s v="Number of actions to encourage and maintain employee health and well-being"/>
    <s v="Wolf et al., 2025"/>
    <x v="1"/>
    <m/>
    <m/>
  </r>
  <r>
    <s v="Soc25"/>
    <s v="Employee Health &amp; Safety"/>
    <s v="Percentage of employees exposed to harmful chemicals in the workplace"/>
    <s v="Wolf et al., 2025"/>
    <x v="1"/>
    <m/>
    <m/>
  </r>
  <r>
    <s v="Soc26"/>
    <s v="Employee Health &amp; Safety"/>
    <s v="Amount of particulate matter present in the air at specific working location"/>
    <s v="Wolf et al., 2025"/>
    <x v="1"/>
    <m/>
    <m/>
  </r>
  <r>
    <s v="Soc27"/>
    <s v="Employee Health &amp; Safety"/>
    <s v="Sound level at a specific working location"/>
    <s v="Wolf et al., 2025"/>
    <x v="1"/>
    <m/>
    <m/>
  </r>
  <r>
    <s v="Soc28"/>
    <s v="Employee Health &amp; Safety"/>
    <s v="Intensity of periodic oscillations at a working station caused by machines, tools, or other equipment"/>
    <s v="Wolf et al., 2025"/>
    <x v="1"/>
    <m/>
    <m/>
  </r>
  <r>
    <s v="Soc29"/>
    <s v="Employee Development &amp; Compensation"/>
    <s v="Number of training hours completed by employees"/>
    <s v="Wolf et al., 2025"/>
    <x v="1"/>
    <m/>
    <s v="no training information within current system; possibly existing within Success Factors / LMS"/>
  </r>
  <r>
    <s v="Soc30"/>
    <s v="Employee Development &amp; Compensation"/>
    <s v="Percentage of employees that participated in regular performance and career development reviews"/>
    <s v="ESRS DR S1-13"/>
    <x v="1"/>
    <m/>
    <s v="possibly existing within Success Factors"/>
  </r>
  <r>
    <s v="Soc31"/>
    <s v="Employee Development &amp; Compensation"/>
    <s v="Skill level of employees"/>
    <s v="Wolf et al., 2025"/>
    <x v="0"/>
    <s v="T503K (employee subgroup) / PA0001 (Organizational Assignment)"/>
    <s v="includes information on employee grouping / rank; possibly directly existing within Success Factors / LMS"/>
  </r>
  <r>
    <s v="Soc32"/>
    <s v="Employee Development &amp; Compensation"/>
    <s v="Number of benefits and rewards offered to employees"/>
    <s v="Wolf et al., 2025"/>
    <x v="1"/>
    <m/>
    <m/>
  </r>
  <r>
    <s v="Soc33"/>
    <s v="Employee Rights &amp; Diversity"/>
    <s v="Total number and rate of new employee hires during the reporting period, by age group, gender and region"/>
    <s v="GRI 401-1"/>
    <x v="2"/>
    <s v="PA0000 (HR - actions)"/>
    <s v="includes action for new staffing, can be used for further calculation"/>
  </r>
  <r>
    <s v="Soc34"/>
    <s v="Employee Rights &amp; Diversity"/>
    <s v="Ratio of productive work hours to the total work hours of employees"/>
    <s v="Wolf et al., 2025"/>
    <x v="3"/>
    <s v="PA0050 (HR - time tracking) + PA0007 (HR - working time)"/>
    <s v="can be calculated be comparing actual working time and planned working time"/>
  </r>
  <r>
    <s v="Soc35"/>
    <s v="Employee Rights &amp; Diversity"/>
    <s v="Ratio of employees who leave to the total number of employees"/>
    <s v="Wolf et al., 2025"/>
    <x v="3"/>
    <s v="PA0000 (HR - actions)"/>
    <s v="includes action for staff exists, can be used for ratio calculation"/>
  </r>
  <r>
    <s v="Soc36"/>
    <s v="Employee Rights &amp; Diversity"/>
    <s v="Ratio of male to female employees"/>
    <s v="Wolf et al., 2025"/>
    <x v="3"/>
    <s v="PA0002 (HR - staff data)"/>
    <s v="includes column for gender, can be used for ratio calculation"/>
  </r>
  <r>
    <s v="Soc37"/>
    <s v="Employee Rights &amp; Diversity"/>
    <s v="Gender Distribution at top management level"/>
    <s v="ESRS DR S1-9"/>
    <x v="3"/>
    <s v="PA0002 (HR - staff data)"/>
    <s v="filter by top-level management employees and use gender column"/>
  </r>
  <r>
    <s v="Soc38"/>
    <s v="Employee Rights &amp; Diversity"/>
    <s v="Gender pay gap"/>
    <s v="ESRS DR S1-16"/>
    <x v="3"/>
    <s v="ACDOCA (Universal Journal) - accounts 8000000 - Workforce / 8012000 - Production Loans + PA0002 (HR - staff data)"/>
    <s v="includes information on saleries, can be used for calculating gender pay gap togehter with gender information within HR staff data"/>
  </r>
  <r>
    <s v="Soc39"/>
    <s v="Employee Development &amp; Compensation"/>
    <s v="Ratio of the annual total compensation ratio of the highest paid individual to the median annual total compensation for all employees"/>
    <s v="ESRS DR S1-16"/>
    <x v="3"/>
    <s v="G/L Account 8000000 – Labor / 8012000 – Production Wages Overhead"/>
    <m/>
  </r>
  <r>
    <s v="Soc40"/>
    <s v="Employee Development &amp; Compensation"/>
    <s v="Ratio of the entry level wage by gender compared to local minimum wage_x000a_significant locations of operation to the minimum wage"/>
    <s v="GRI 202-1"/>
    <x v="3"/>
    <s v="T510 (pay scale groups with pay scale area) / T510L (pay scale levels)"/>
    <s v="pay scale area information can be used to derive the lowest wage level at specific locations and compared with local minimum wage"/>
  </r>
  <r>
    <s v="Soc41"/>
    <s v="Employee Rights &amp; Diversity"/>
    <s v="Distribution of employees by age group"/>
    <s v="ESRS DR S1-9"/>
    <x v="3"/>
    <s v="PA0002 (HR - staff data)"/>
    <s v="includes birth dates of all employees, can be used for grouping"/>
  </r>
  <r>
    <s v="Soc42"/>
    <s v="Employee Development &amp; Compensation"/>
    <s v="Percentage of workforce paid below the adequate wage"/>
    <s v="ESRS DR S1-10"/>
    <x v="3"/>
    <s v="T510L (pay scale levels) + PA002 (HR staff data)"/>
    <s v="pay scale information can be used to calculate the ratio"/>
  </r>
  <r>
    <s v="Soc43"/>
    <s v="Employee Rights &amp; Diversity"/>
    <s v="Total number of incidents of discrimination"/>
    <s v="ESRS DR S1-17"/>
    <x v="1"/>
    <m/>
    <m/>
  </r>
  <r>
    <s v="Soc44"/>
    <s v="Employee Rights &amp; Diversity"/>
    <s v="Number of complaints filed through channels for people in own workforce to raise concerns"/>
    <s v="ESRS DR S1-17"/>
    <x v="1"/>
    <m/>
    <m/>
  </r>
  <r>
    <s v="Soc45"/>
    <s v="Employee Rights &amp; Diversity"/>
    <s v="Number of complaints filed to National Contact Points for OECD Multinational Enterprises"/>
    <s v="ESRS DR S1-17"/>
    <x v="1"/>
    <m/>
    <m/>
  </r>
  <r>
    <s v="Soc46"/>
    <s v="Employee Rights &amp; Diversity"/>
    <s v="Number of severe human rights incidents connected to own workforce"/>
    <s v="ESRS DR S1-17"/>
    <x v="1"/>
    <m/>
    <m/>
  </r>
  <r>
    <s v="Soc47"/>
    <s v="Employee Rights &amp; Diversity"/>
    <s v="Percentage of security personnel who have received formal training in the organization’s human rights policies or specific procedures and their application to security"/>
    <s v="GRI 410-1"/>
    <x v="1"/>
    <m/>
    <s v="possibly existing within Success Factors / LMS"/>
  </r>
  <r>
    <s v="Soc48"/>
    <s v="Employee Rights &amp; Diversity"/>
    <s v="Total amount of fines, penalties, and compensation for damages for severe human rights incidents connected to own workforce"/>
    <s v="ESRS DR S1-17"/>
    <x v="0"/>
    <s v="ACDOCA (Universal Journal) - account 645000 (other fines)"/>
    <s v="Could be extended with seperate accounts for human right violation fines and compensation payments"/>
  </r>
  <r>
    <s v="Soc49"/>
    <s v="Employee Rights &amp; Diversity"/>
    <s v="Number of actions to support disadvantaged employees"/>
    <s v="Wolf et al., 2025"/>
    <x v="1"/>
    <m/>
    <m/>
  </r>
  <r>
    <s v="Soc50"/>
    <s v="Employee Rights &amp; Diversity"/>
    <s v="Percentage of persons with disabilities in its own workforce"/>
    <s v="ESRS DR S1-12"/>
    <x v="2"/>
    <s v="HR - Personnel Master display / disability field"/>
    <m/>
  </r>
  <r>
    <s v="Soc51"/>
    <s v="Employee Rights &amp; Diversity"/>
    <s v="Number of actions to support female employees"/>
    <s v="Wolf et al., 2025"/>
    <x v="1"/>
    <m/>
    <m/>
  </r>
  <r>
    <s v="Soc52"/>
    <s v="Employee Rights &amp; Diversity"/>
    <s v="Number of employees hired from the local community"/>
    <s v="Wolf et al., 2025"/>
    <x v="3"/>
    <s v="PA0002 (HR - staff data)"/>
    <s v="includes the employees place of birth + residence data, can be used for calculation together with company location data and distance threshold"/>
  </r>
  <r>
    <s v="Soc53"/>
    <s v="Supply Chain, Local communities &amp; Ressources"/>
    <s v="Percentage of operations with implemented local community engagement, impact assessments, and/or development programs"/>
    <s v="GRI 413-1"/>
    <x v="1"/>
    <m/>
    <m/>
  </r>
  <r>
    <s v="Soc54"/>
    <s v="Supply Chain, Local communities &amp; Ressources"/>
    <s v="Total number of identified incidents of violations involving the rights of indigenous peoples during the reporting period"/>
    <s v="GRI 411-1"/>
    <x v="1"/>
    <m/>
    <m/>
  </r>
  <r>
    <s v="Soc55"/>
    <s v="Supply Chain, Local communities &amp; Ressources"/>
    <s v="Amount of resources sourced from conflict-affected areas"/>
    <s v="Wolf et al., 2025"/>
    <x v="1"/>
    <m/>
    <m/>
  </r>
  <r>
    <s v="Soc56"/>
    <s v="Supply Chain, Local communities &amp; Ressources"/>
    <s v="Significant actual and potential negative environmental impacts identified in the supply chain_x000a_chain"/>
    <s v="GRI 308-2"/>
    <x v="1"/>
    <m/>
    <m/>
  </r>
  <r>
    <s v="Soc57"/>
    <s v="Supply Chain, Local communities &amp; Ressources"/>
    <s v="Number of suppliers lacking sustainability standards and regulations"/>
    <s v="Wolf et al., 2025"/>
    <x v="0"/>
    <s v="LFA1 (supplier master data)"/>
    <s v="could be extended with information on supplier's sustainability status"/>
  </r>
  <r>
    <s v="Soc58"/>
    <s v="Supply Chain, Local communities &amp; Ressources"/>
    <s v="Percentage of suppliers identified as having significant actual and potential negative environmental impacts"/>
    <s v="GRI 308-2"/>
    <x v="0"/>
    <s v="LFA1 (supplier master data)"/>
    <s v="could be extended with information on supplier's sustainability impact"/>
  </r>
  <r>
    <s v="Soc59"/>
    <s v="Supply Chain, Local communities &amp; Ressources"/>
    <s v="Percentage of land in a specific area that is utilized for business operations"/>
    <s v="Wolf et al., 2025"/>
    <x v="0"/>
    <s v="T001W (Plant data)"/>
    <s v="plant data could be extended with area information"/>
  </r>
  <r>
    <s v="Soc60"/>
    <s v="Supply Chain, Local communities &amp; Ressources"/>
    <s v="Local environmental harm caused by business activities"/>
    <s v="Wolf et al., 2025"/>
    <x v="1"/>
    <m/>
    <m/>
  </r>
  <r>
    <s v="Soc61"/>
    <s v="Supply Chain, Local communities &amp; Ressources"/>
    <s v="Number of social initiatives in which the company participates actively"/>
    <s v="Wolf et al., 2025"/>
    <x v="0"/>
    <s v="PRPS (project WBS elements)"/>
    <s v="project / order information could be extended with social projects / intitiativ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Econ1"/>
    <s v="Financial Performance"/>
    <s v="Direct economic value generated: revenues"/>
    <s v="GRI 201-1"/>
    <x v="0"/>
    <s v="FI – Profit and Loss / Balance Sheet"/>
    <m/>
  </r>
  <r>
    <s v="Econ2"/>
    <s v="Financial Performance"/>
    <s v="Payments to providers of capital (Interest, Dividends)"/>
    <s v="GRI 201-1"/>
    <x v="0"/>
    <s v="FI – Accounts Payable"/>
    <m/>
  </r>
  <r>
    <s v="Econ3"/>
    <s v="Taxes &amp; Subsidies"/>
    <s v="payments to government by country (Taxes)"/>
    <s v="GRI 201-1"/>
    <x v="0"/>
    <s v="BSET (tax data document segment) + PAYR (payment data table)"/>
    <m/>
  </r>
  <r>
    <s v="Econ4"/>
    <s v="Social Contributions"/>
    <s v="Community investments (Funds to support community infrastructure, Direct costs of social programs)"/>
    <s v="GRI 201-1"/>
    <x v="1"/>
    <s v="PRPS (project WBS elements) / AUFK (internal order master data)"/>
    <s v="project / order information could be extended with social projects / intitiatives"/>
  </r>
  <r>
    <s v="Econ5"/>
    <s v="Financial Performance"/>
    <s v="Economic value retained: ‘direct economic value generated’ less ‘economic value_x000a_distributed’"/>
    <s v="GRI 201-1"/>
    <x v="2"/>
    <m/>
    <s v="can be calculated by subtracting  total economic value distributed from total economic value generated"/>
  </r>
  <r>
    <s v="Econ6"/>
    <s v="Financial Performance"/>
    <s v="Energy Cost"/>
    <s v="Wolf et al., 2025"/>
    <x v="0"/>
    <s v="G/L Account 5190000 – Energy Materials (Production)"/>
    <m/>
  </r>
  <r>
    <s v="Econ7"/>
    <s v="Financial Performance"/>
    <s v="Disposal Cost"/>
    <s v="Wolf et al., 2025"/>
    <x v="0"/>
    <s v="ACDOCA (Universal Journal) - account 64600 (waste collection) / 64610 (special waste disposal) / 64620 (wastewater)"/>
    <m/>
  </r>
  <r>
    <s v="Econ8"/>
    <s v="Financial Performance"/>
    <s v="Extent of development of significant infrastructure investments and services supported"/>
    <s v="GRI 203-1"/>
    <x v="1"/>
    <s v="PRPS (project WBS elements) / AUFK (internal order master data)"/>
    <s v="project / order information could be extended with infrastructure projects / intitiatives"/>
  </r>
  <r>
    <s v="Econ9"/>
    <s v="Financial Performance"/>
    <s v="Percentage of the procurement budget used for significant locations of operation that is spent on suppliers local to that operation (such as percentage of products and services purchased locally)"/>
    <s v="GRI 204-1"/>
    <x v="2"/>
    <s v="LFA1 (list of suppliers with locations) + EKKO (orders)"/>
    <m/>
  </r>
  <r>
    <s v="Econ10"/>
    <s v="Environmental Impact"/>
    <s v="Total expenditure on meeting environmental regulations"/>
    <s v="Wolf et al., 2025"/>
    <x v="3"/>
    <m/>
    <m/>
  </r>
  <r>
    <s v="Econ11"/>
    <s v="Environmental Impact"/>
    <s v="Total expenditure on proactive environmental initiatives"/>
    <s v="Wolf et al., 2025"/>
    <x v="1"/>
    <s v="PRPS (project WBS elements) / AUFK (internal order master data)"/>
    <s v="project / order information could be extended with environment projects / orders"/>
  </r>
  <r>
    <s v="Econ12"/>
    <s v="Social Contributions"/>
    <s v="Personnel Costs"/>
    <s v="Wolf et al., 2025"/>
    <x v="0"/>
    <s v="G/L Account 8000000 – Labor / 8012000 – Production Wages Overhead"/>
    <m/>
  </r>
  <r>
    <s v="Econ13"/>
    <s v="Social Contributions"/>
    <s v="Defined benefit plan obligations and other retirement plans"/>
    <s v="GRI 201-3"/>
    <x v="1"/>
    <s v="T582A (customer-specific settings for infotypes) "/>
    <s v="includes configuration possibility for Value of accrued occupational pension entitlement, but no implementation in current system"/>
  </r>
  <r>
    <s v="Econ14"/>
    <s v="Social Contributions"/>
    <s v="Total expenditure on employee training programs"/>
    <s v="Wolf et al., 2025"/>
    <x v="0"/>
    <s v="ACDOCA (Universal Journal) – Account 449400 (Services – Trainings)"/>
    <s v="currently no associated entries"/>
  </r>
  <r>
    <s v="Econ15"/>
    <s v="Environmental Impact"/>
    <s v="Total savings from implementing environmental actions"/>
    <s v="Wolf et al., 2025"/>
    <x v="3"/>
    <m/>
    <m/>
  </r>
  <r>
    <s v="Econ16"/>
    <s v="Social Contributions"/>
    <s v="Total amount donated to charitable causes"/>
    <s v="Wolf et al., 2025"/>
    <x v="0"/>
    <s v="ACDOCA (Universal Journal) - accounts 65210 (Donations), 6390000 (Non-deductible donations), 6391000 (Donations to science &amp; culture), 6394000 (Donations to political parties)"/>
    <s v="currently no associated entries"/>
  </r>
  <r>
    <s v="Econ17"/>
    <s v="Taxes &amp; Subsidies"/>
    <s v="Total monetary value of financial assistance received by the organization from any government during the reporting period"/>
    <s v="GRI 201-4"/>
    <x v="0"/>
    <s v="SKA1 (G/L account master)"/>
    <s v="includes &quot;subvention d'investi&quot;"/>
  </r>
  <r>
    <s v="Econ18"/>
    <s v="Environmental Impact"/>
    <s v="Total expenditure on environmental actions and projects"/>
    <s v="Wolf et al., 2025"/>
    <x v="1"/>
    <s v="PRPS (project WBS elements) / AUFK (internal order master data)"/>
    <s v="project / order information could be extended with environment projects / orders"/>
  </r>
  <r>
    <s v="Econ19"/>
    <s v="Environmental Impact"/>
    <s v="Total monetary return from environmental investments"/>
    <s v="Wolf et al., 2025"/>
    <x v="3"/>
    <m/>
    <m/>
  </r>
  <r>
    <s v="Econ20"/>
    <s v="Environmental Impact"/>
    <s v="Total additional revenue generated from sustainability actions"/>
    <s v="Wolf et al., 2025"/>
    <x v="3"/>
    <m/>
    <m/>
  </r>
  <r>
    <s v="Econ21"/>
    <s v="Environmental Impact"/>
    <s v="Number of environmental certifications owned"/>
    <s v="Wolf et al., 2025"/>
    <x v="3"/>
    <m/>
    <s v="possibly existing within EHS extensio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Env1"/>
    <s v="Energy"/>
    <s v="Total amount of energy used"/>
    <s v="Wolf et al., 2025"/>
    <x v="0"/>
    <m/>
    <m/>
  </r>
  <r>
    <s v="Env2"/>
    <s v="Energy"/>
    <s v="Total amount of renewable energy used"/>
    <s v="Wolf et al., 2025"/>
    <x v="0"/>
    <m/>
    <m/>
  </r>
  <r>
    <s v="Env3"/>
    <s v="Energy"/>
    <s v="Total amount of energy recovered and reused"/>
    <s v="Wolf et al., 2025"/>
    <x v="0"/>
    <m/>
    <m/>
  </r>
  <r>
    <s v="Env4"/>
    <s v="Energy"/>
    <s v="Reductions in energy requirements of sold products and services achieved during the reporting period"/>
    <s v="GRI 302-5"/>
    <x v="0"/>
    <m/>
    <s v="possibly existing within PLM extension"/>
  </r>
  <r>
    <s v="Env5"/>
    <s v="Energy"/>
    <s v="Energy Efficiency"/>
    <s v="Wolf et al., 2025"/>
    <x v="0"/>
    <m/>
    <m/>
  </r>
  <r>
    <s v="Env6"/>
    <s v="Energy"/>
    <s v="Energy intensity (total energy consumption per net revenue) associated with activities in high climate impact sectors"/>
    <s v="ESRS DR E1-5"/>
    <x v="0"/>
    <m/>
    <m/>
  </r>
  <r>
    <s v="Env7"/>
    <s v="Energy"/>
    <s v="Total amount of gas used"/>
    <s v="Wolf et al., 2025"/>
    <x v="0"/>
    <m/>
    <m/>
  </r>
  <r>
    <s v="Env8"/>
    <s v="Energy"/>
    <s v="Total amount of fuel used"/>
    <s v="Wolf et al., 2025"/>
    <x v="0"/>
    <m/>
    <m/>
  </r>
  <r>
    <s v="Env9"/>
    <s v="Material"/>
    <s v="Total amount of material recycled"/>
    <s v="Wolf et al., 2025"/>
    <x v="0"/>
    <m/>
    <m/>
  </r>
  <r>
    <s v="Env10"/>
    <s v="Material"/>
    <s v="Total amount of material reused"/>
    <s v="Wolf et al., 2025"/>
    <x v="0"/>
    <m/>
    <m/>
  </r>
  <r>
    <s v="Env11"/>
    <s v="Material"/>
    <s v="Total amount of material remanufactured"/>
    <s v="Wolf et al., 2025"/>
    <x v="0"/>
    <m/>
    <m/>
  </r>
  <r>
    <s v="Env12"/>
    <s v="Material"/>
    <s v="the total weight (tonnes) and percentage of materials that come out of the undertaking’s products and services production process (including packaging) that have been designed along circular principles (specified in DR E5-5)"/>
    <s v="ESRS DR E5-5"/>
    <x v="0"/>
    <m/>
    <m/>
  </r>
  <r>
    <s v="Env13"/>
    <s v="Material"/>
    <s v="weight and percentage of products and materials that come out of the undertaking including packaging that are designed to enhance/enable circular economy for customers further down the value chain"/>
    <s v="ESRS DR E5-5"/>
    <x v="0"/>
    <m/>
    <s v="possibly existing within PLM extension"/>
  </r>
  <r>
    <s v="Env14"/>
    <s v="Material"/>
    <s v="Total amount of renewable material used"/>
    <s v="Wolf et al., 2025"/>
    <x v="1"/>
    <s v="MARA (general material master data) - &quot;Material&quot;"/>
    <s v="include information on material sustainability type"/>
  </r>
  <r>
    <s v="Env15"/>
    <s v="Material"/>
    <s v="Total amount of virgin material used"/>
    <s v="Wolf et al., 2025"/>
    <x v="1"/>
    <s v="MARA (general material master data) - &quot;Material&quot;"/>
    <s v="include information on material sustainability type"/>
  </r>
  <r>
    <s v="Env16"/>
    <s v="Material"/>
    <s v="Total amount of compostable material used"/>
    <s v="Wolf et al., 2025"/>
    <x v="1"/>
    <s v="MARA (general material master data) - &quot;Material&quot;"/>
    <s v="include information on material sustainability type"/>
  </r>
  <r>
    <s v="Env17"/>
    <s v="Material"/>
    <s v="Total amount of material consumed"/>
    <s v="Wolf et al., 2025"/>
    <x v="2"/>
    <s v="MARA (general material master data) - &quot;Bruttogewicht&quot; / Gross Weight + MSEG (Material document segment)"/>
    <s v="can be calculated using the material weight specified in MARA and the material movement specified in MSEG"/>
  </r>
  <r>
    <s v="Env18"/>
    <s v="Material"/>
    <s v="Ratio of useful material output to total material input"/>
    <s v="Wolf et al., 2025"/>
    <x v="0"/>
    <m/>
    <m/>
  </r>
  <r>
    <s v="Env19"/>
    <s v="Material"/>
    <s v="Total amount of hazardous substances use"/>
    <s v="Wolf et al., 2025"/>
    <x v="0"/>
    <m/>
    <m/>
  </r>
  <r>
    <s v="Env20"/>
    <s v="Material"/>
    <s v="Total amount of paper used"/>
    <s v="Wolf et al., 2025"/>
    <x v="1"/>
    <s v="MARA (general material master data) - &quot;Verpackungsmaterial&quot; / packaging material"/>
    <s v="currently only include general information on packaging type"/>
  </r>
  <r>
    <s v="Env21"/>
    <s v="Waste"/>
    <s v="Total amount of waste produced"/>
    <s v="Wolf et al., 2025"/>
    <x v="0"/>
    <m/>
    <m/>
  </r>
  <r>
    <s v="Env22"/>
    <s v="Waste"/>
    <s v="Materials that are present in the waste (e.g., biomass, metals, non-metallic minerals, plastics, textiles)"/>
    <s v="ESRS DR E5-5"/>
    <x v="0"/>
    <m/>
    <m/>
  </r>
  <r>
    <s v="Env23"/>
    <s v="Waste"/>
    <s v="Total amount of waste processed for recycling"/>
    <s v="Wolf et al., 2025"/>
    <x v="0"/>
    <m/>
    <m/>
  </r>
  <r>
    <s v="Env24"/>
    <s v="Waste"/>
    <s v="Total amount of solid waste produced"/>
    <s v="Wolf et al., 2025"/>
    <x v="0"/>
    <m/>
    <m/>
  </r>
  <r>
    <s v="Env25"/>
    <s v="Waste"/>
    <s v="Total amount of waste redirected from landfill"/>
    <s v="Wolf et al., 2025"/>
    <x v="0"/>
    <m/>
    <m/>
  </r>
  <r>
    <s v="Env26"/>
    <s v="Waste"/>
    <s v="for each type of hazardous and non-hazardous waste, the amount by weight directed to disposal by waste treatment type"/>
    <s v="ESRS DR E5-5"/>
    <x v="0"/>
    <m/>
    <m/>
  </r>
  <r>
    <s v="Env27"/>
    <s v="Waste"/>
    <s v="Total amount of hazardous waste produced"/>
    <s v="Wolf et al., 2025"/>
    <x v="0"/>
    <m/>
    <m/>
  </r>
  <r>
    <s v="Env28"/>
    <s v="Emissions"/>
    <s v="Total amount of CO2 emitted"/>
    <s v="Wolf et al., 2025"/>
    <x v="0"/>
    <m/>
    <m/>
  </r>
  <r>
    <s v="Env29"/>
    <s v="Emissions"/>
    <s v="Total amount of other greenhouse gases emitted"/>
    <s v="Wolf et al., 2025"/>
    <x v="0"/>
    <m/>
    <m/>
  </r>
  <r>
    <s v="Env30"/>
    <s v="Emissions"/>
    <s v="Total amount of gases emitted"/>
    <s v="Wolf et al., 2025"/>
    <x v="0"/>
    <m/>
    <m/>
  </r>
  <r>
    <s v="Env31"/>
    <s v="Emissions"/>
    <s v="GHG removals and storage from its own operations and its upstream and downstream value chain"/>
    <s v="ESRS DR E1-7"/>
    <x v="0"/>
    <m/>
    <m/>
  </r>
  <r>
    <s v="Env32"/>
    <s v="Emissions"/>
    <s v="Carbon credits the undertaking has purchased from the voluntary market and cancelled in the reporting period"/>
    <s v="ESRS DR E1-7"/>
    <x v="0"/>
    <m/>
    <m/>
  </r>
  <r>
    <s v="Env33"/>
    <s v="Emissions"/>
    <s v="Carbon prices applied according to the type of scheme and critical assumptions made to determine the prices"/>
    <s v="ESRS DR E1-8"/>
    <x v="0"/>
    <m/>
    <m/>
  </r>
  <r>
    <s v="Env34"/>
    <s v="Emissions"/>
    <s v="Total amount of ozone-depleting gases emitted"/>
    <s v="Wolf et al., 2025"/>
    <x v="0"/>
    <m/>
    <s v="possibly existing within EHS extension"/>
  </r>
  <r>
    <s v="Env35"/>
    <s v="Emissions"/>
    <s v="Total amount of pollutants emitted into the air"/>
    <s v="Wolf et al., 2025"/>
    <x v="0"/>
    <m/>
    <s v="possibly existing within EHS extension"/>
  </r>
  <r>
    <s v="Env36"/>
    <s v="Land and Water"/>
    <s v="Total amount of pollutants emitted onto land"/>
    <s v="Wolf et al., 2025"/>
    <x v="0"/>
    <m/>
    <s v="possibly existing within EHS extension"/>
  </r>
  <r>
    <s v="Env37"/>
    <s v="Land and Water"/>
    <s v="Total amount of pollutants emitted into water"/>
    <s v="Wolf et al., 2025"/>
    <x v="0"/>
    <m/>
    <s v="possibly existing within EHS extension"/>
  </r>
  <r>
    <s v="Env38"/>
    <s v="Emissions"/>
    <s v="Rate of radiation emitted"/>
    <s v="Wolf et al., 2025"/>
    <x v="0"/>
    <m/>
    <s v="possibly existing within EHS extension"/>
  </r>
  <r>
    <s v="Env39"/>
    <s v="Land and Water"/>
    <s v="Number and area (in hectares) of sites owned, leased or managed in or near these protected areas or key biodiversity areas"/>
    <s v="ESRS DR E4-5"/>
    <x v="1"/>
    <s v="T001W (Plant data)"/>
    <s v="plant data could be extended with area information; exisiting location information can be used to calculate proximity to protected and key biodiversity areas"/>
  </r>
  <r>
    <s v="Env40"/>
    <s v="Land and Water"/>
    <s v="Total amount of water used"/>
    <s v="Wolf et al., 2025"/>
    <x v="0"/>
    <m/>
    <m/>
  </r>
  <r>
    <s v="Env41"/>
    <s v="Land and Water"/>
    <s v="Total water discharge to all areas in megaliters, and a breakdown of this total by the_x000a_following types of destination"/>
    <s v="GRI 303-4"/>
    <x v="0"/>
    <m/>
    <m/>
  </r>
  <r>
    <s v="Env42"/>
    <s v="Land and Water"/>
    <s v="Total water stored and changes in storage"/>
    <s v="ESRS DR E3-4"/>
    <x v="0"/>
    <m/>
    <m/>
  </r>
  <r>
    <s v="Env43"/>
    <s v="Land and Water"/>
    <s v="Total amount of water recovered and reused"/>
    <s v="Wolf et al., 2025"/>
    <x v="0"/>
    <m/>
    <m/>
  </r>
  <r>
    <s v="Env44"/>
    <s v="Land and Water"/>
    <s v="Total amount of rain water collected and used"/>
    <s v="Wolf et al., 2025"/>
    <x v="0"/>
    <m/>
    <m/>
  </r>
  <r>
    <s v="Env45"/>
    <s v="Land and Water"/>
    <s v="Concentration of contaminants in water"/>
    <s v="Wolf et al., 2025"/>
    <x v="0"/>
    <m/>
    <m/>
  </r>
  <r>
    <s v="Env46"/>
    <s v="Land and Water"/>
    <s v="Conversion over time (e.g., one or five years) of land cover (e.g., deforestation_x000a_or mining)"/>
    <s v="ESRS DR E4-5"/>
    <x v="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Gov1"/>
    <s v="Payment Compliance"/>
    <s v="Average invoice payment duration"/>
    <s v="ESRS DR G1-6"/>
    <x v="0"/>
    <s v="BSEG (Accounting Document Segment) + PAYR (payment data table)"/>
    <s v="can be calculated using invoice posting date from BSEG and payment date from PAYR "/>
  </r>
  <r>
    <s v="Gov2"/>
    <m/>
    <s v="Standard Payment Terms Compliance"/>
    <s v="ESRS DR G1-6"/>
    <x v="0"/>
    <s v="EKKO (Purchasing Document Header) + T052 (Terms of Payment) + PAYR (payment data table)"/>
    <s v="can be calculated using the standard payment terms and actual payment durations"/>
  </r>
  <r>
    <s v="Gov3"/>
    <s v="Legal Compliance"/>
    <s v="Total number of incidents of non-compliance with regulations and/or voluntary codes concerning the health and safety impacts of products and services within the reporting period"/>
    <s v="GRI 416-2"/>
    <x v="1"/>
    <m/>
    <s v="possibly existing within EHS Extension"/>
  </r>
  <r>
    <s v="Gov4"/>
    <m/>
    <s v="Total number of incidents of non-compliance with regulations and/or voluntary codes_x000a_concerning product and service information and labeling"/>
    <s v="GRI 417-2"/>
    <x v="1"/>
    <m/>
    <s v="possibly existing within EHS Extension"/>
  </r>
  <r>
    <s v="Gov5"/>
    <m/>
    <s v="Total number of incidents of non-compliance with regulations and/or voluntary codes concerning marketing communications, including advertising, promotion, and sponsorship"/>
    <s v="GRI 417-3"/>
    <x v="1"/>
    <m/>
    <s v="possibly existing within EHS Extension"/>
  </r>
  <r>
    <s v="Gov6"/>
    <s v="Corruption &amp; Fraud"/>
    <s v="Public legal cases regarding corruption brought against the organization or ist employees during the reporting period and the outcomes of such cases."/>
    <s v="GRI 205-3"/>
    <x v="1"/>
    <m/>
    <s v="possibly existing within GRC Extension"/>
  </r>
  <r>
    <s v="Gov7"/>
    <m/>
    <s v="Number of legal actions pending or completed during the reporting period regarding anti-competitive behavior and violations of anti-trust and monopoly legislation in which the organization has been identified as a participant"/>
    <s v="GRI 206-1"/>
    <x v="1"/>
    <m/>
    <s v="possibly existing within GRC Extension"/>
  </r>
  <r>
    <s v="Gov8"/>
    <m/>
    <s v="Total number and percentage of operations assessed for risks related to corruption"/>
    <s v="GRI 205-1"/>
    <x v="1"/>
    <m/>
    <s v="possibly existing within GRC Extension"/>
  </r>
  <r>
    <s v="Gov9"/>
    <m/>
    <s v="Total number and nature of confirmed incidents of corruption"/>
    <s v="GRI 205-3"/>
    <x v="1"/>
    <m/>
    <s v="possibly existing within GRC Extension"/>
  </r>
  <r>
    <s v="Gov10"/>
    <m/>
    <s v="Public legal cases regarding corruption brought against the organization or ist employees during the reporting period and the outcomes of such cases."/>
    <s v="GRI 205-3"/>
    <x v="1"/>
    <m/>
    <s v="possibly existing within GRC Extension"/>
  </r>
  <r>
    <s v="Gov11"/>
    <m/>
    <s v="Significant fines and non-monetary sanctions for non-compliance with laws and/or regulations in the social and economic area"/>
    <s v="GRI 419-1"/>
    <x v="2"/>
    <s v="ACDOCA (Universal Journal) - account 644000 (Contractual &amp; Delay Fines) / 645000 (Other Fines)"/>
    <m/>
  </r>
  <r>
    <s v="Gov12"/>
    <m/>
    <s v="Process Outcomes (Corruption or Bribery)"/>
    <s v="DR G1-4"/>
    <x v="1"/>
    <m/>
    <s v="no training-related information stored in current system; possibly existing within Success Factors / LMS"/>
  </r>
  <r>
    <s v="Gov13"/>
    <m/>
    <s v="Total number and percentage of employees that have received training on anti-corruption, broken down by employee category and region"/>
    <s v="GRI 205-2"/>
    <x v="1"/>
    <m/>
    <s v="possibly existing within Success Factors / LMS / GRC"/>
  </r>
  <r>
    <s v="Gov14"/>
    <m/>
    <s v="Duration of classroom training (hours) / computer-based training of anti-corruption training"/>
    <s v="ESRS DR G1-3"/>
    <x v="1"/>
    <m/>
    <s v="possibly existing within Success Factors / LMS / GRC"/>
  </r>
  <r>
    <s v="Gov15"/>
    <m/>
    <s v="Total number and percentage of governance body members that the organization’s anti-corruption policies and procedures have been communicated to"/>
    <s v="GRI 205-2"/>
    <x v="1"/>
    <m/>
    <s v="possibly existing within Success Factors / LMS / GRC"/>
  </r>
  <r>
    <s v="Gov16"/>
    <m/>
    <s v="Total monetary value of financial and in-kind political contributions made directly and indirectly by the organization by country and recipient/beneficiary"/>
    <s v="GRI 415-1"/>
    <x v="2"/>
    <s v="ACDOCA (Universal Journal) - account 6394000 (political donations)"/>
    <s v="currently no associated entrie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9"/>
    <n v="2"/>
    <n v="5"/>
    <n v="5"/>
  </r>
  <r>
    <x v="1"/>
    <n v="0"/>
    <n v="1"/>
    <n v="5"/>
    <n v="40"/>
  </r>
  <r>
    <x v="2"/>
    <n v="4"/>
    <n v="10"/>
    <n v="18"/>
    <n v="29"/>
  </r>
  <r>
    <x v="3"/>
    <n v="2"/>
    <n v="2"/>
    <n v="0"/>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E82B3-14A2-C84D-B942-01C21CD51565}" name="PivotTable2" cacheId="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3">
  <location ref="E24:I29" firstHeaderRow="0" firstDataRow="1" firstDataCol="1"/>
  <pivotFields count="5">
    <pivotField axis="axisRow" showAll="0">
      <items count="5">
        <item x="0"/>
        <item x="1"/>
        <item x="3"/>
        <item x="2"/>
        <item t="default"/>
      </items>
    </pivotField>
    <pivotField dataField="1" showAll="0"/>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dataFields count="4">
    <dataField name="Sum Directly available" fld="1" baseField="0" baseItem="0"/>
    <dataField name="Sum Indirectly available" fld="2" baseField="0" baseItem="0"/>
    <dataField name="Sum Extendable" fld="3" baseField="0" baseItem="0"/>
    <dataField name="Sum Not presen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F96C0-F7C4-FE46-BD67-8CBBC82E32EF}" name="PivotTable1"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7">
  <location ref="C29:D34" firstHeaderRow="1" firstDataRow="1" firstDataCol="1"/>
  <pivotFields count="7">
    <pivotField dataField="1" showAll="0"/>
    <pivotField showAll="0"/>
    <pivotField showAll="0"/>
    <pivotField showAll="0"/>
    <pivotField axis="axisRow" showAll="0">
      <items count="9">
        <item m="1" x="4"/>
        <item m="1" x="5"/>
        <item m="1" x="6"/>
        <item x="0"/>
        <item x="2"/>
        <item x="1"/>
        <item x="3"/>
        <item m="1" x="7"/>
        <item t="default"/>
      </items>
    </pivotField>
    <pivotField showAll="0"/>
    <pivotField showAll="0"/>
  </pivotFields>
  <rowFields count="1">
    <field x="4"/>
  </rowFields>
  <rowItems count="5">
    <i>
      <x v="3"/>
    </i>
    <i>
      <x v="4"/>
    </i>
    <i>
      <x v="5"/>
    </i>
    <i>
      <x v="6"/>
    </i>
    <i t="grand">
      <x/>
    </i>
  </rowItems>
  <colItems count="1">
    <i/>
  </colItems>
  <dataFields count="1">
    <dataField name="Anzahl von ID" fld="0" subtotal="count" baseField="0" baseItem="0"/>
  </dataFields>
  <chartFormats count="1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6"/>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5"/>
          </reference>
        </references>
      </pivotArea>
    </chartFormat>
    <chartFormat chart="3" format="11">
      <pivotArea type="data" outline="0" fieldPosition="0">
        <references count="2">
          <reference field="4294967294" count="1" selected="0">
            <x v="0"/>
          </reference>
          <reference field="4" count="1" selected="0">
            <x v="6"/>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5"/>
          </reference>
        </references>
      </pivotArea>
    </chartFormat>
    <chartFormat chart="4" format="16">
      <pivotArea type="data" outline="0" fieldPosition="0">
        <references count="2">
          <reference field="4294967294" count="1" selected="0">
            <x v="0"/>
          </reference>
          <reference field="4" count="1" selected="0">
            <x v="6"/>
          </reference>
        </references>
      </pivotArea>
    </chartFormat>
    <chartFormat chart="0" format="7">
      <pivotArea type="data" outline="0" fieldPosition="0">
        <references count="2">
          <reference field="4294967294" count="1" selected="0">
            <x v="0"/>
          </reference>
          <reference field="4" count="1" selected="0">
            <x v="3"/>
          </reference>
        </references>
      </pivotArea>
    </chartFormat>
    <chartFormat chart="0" format="8">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E1EFC-C779-D54F-BDFA-EB58A0EC69E5}" name="PivotTable2" cacheId="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location ref="E54:F58" firstHeaderRow="1" firstDataRow="1" firstDataCol="1"/>
  <pivotFields count="7">
    <pivotField dataField="1" showAll="0"/>
    <pivotField showAll="0"/>
    <pivotField showAll="0"/>
    <pivotField showAll="0"/>
    <pivotField axis="axisRow" showAll="0">
      <items count="9">
        <item m="1" x="4"/>
        <item m="1" x="3"/>
        <item m="1" x="7"/>
        <item m="1" x="5"/>
        <item x="2"/>
        <item x="1"/>
        <item x="0"/>
        <item m="1" x="6"/>
        <item t="default"/>
      </items>
    </pivotField>
    <pivotField showAll="0"/>
    <pivotField showAll="0"/>
  </pivotFields>
  <rowFields count="1">
    <field x="4"/>
  </rowFields>
  <rowItems count="4">
    <i>
      <x v="4"/>
    </i>
    <i>
      <x v="5"/>
    </i>
    <i>
      <x v="6"/>
    </i>
    <i t="grand">
      <x/>
    </i>
  </rowItems>
  <colItems count="1">
    <i/>
  </colItems>
  <dataFields count="1">
    <dataField name="Anzahl v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5"/>
          </reference>
        </references>
      </pivotArea>
    </chartFormat>
    <chartFormat chart="0" format="5">
      <pivotArea type="data" outline="0" fieldPosition="0">
        <references count="2">
          <reference field="4294967294" count="1" selected="0">
            <x v="0"/>
          </reference>
          <reference field="4" count="1" selected="0">
            <x v="6"/>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C4D7E7-DFD4-7340-8292-E07B11F3016D}"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D69:E74" firstHeaderRow="1" firstDataRow="1" firstDataCol="1"/>
  <pivotFields count="7">
    <pivotField dataField="1" showAll="0"/>
    <pivotField showAll="0"/>
    <pivotField showAll="0"/>
    <pivotField showAll="0"/>
    <pivotField axis="axisRow" showAll="0">
      <items count="9">
        <item m="1" x="5"/>
        <item m="1" x="4"/>
        <item m="1" x="6"/>
        <item x="2"/>
        <item x="3"/>
        <item x="0"/>
        <item x="1"/>
        <item m="1" x="7"/>
        <item t="default"/>
      </items>
    </pivotField>
    <pivotField showAll="0"/>
    <pivotField showAll="0"/>
  </pivotFields>
  <rowFields count="1">
    <field x="4"/>
  </rowFields>
  <rowItems count="5">
    <i>
      <x v="3"/>
    </i>
    <i>
      <x v="4"/>
    </i>
    <i>
      <x v="5"/>
    </i>
    <i>
      <x v="6"/>
    </i>
    <i t="grand">
      <x/>
    </i>
  </rowItems>
  <colItems count="1">
    <i/>
  </colItems>
  <dataFields count="1">
    <dataField name="Anzahl v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6"/>
          </reference>
        </references>
      </pivotArea>
    </chartFormat>
    <chartFormat chart="0" format="5">
      <pivotArea type="data" outline="0" fieldPosition="0">
        <references count="2">
          <reference field="4294967294" count="1" selected="0">
            <x v="0"/>
          </reference>
          <reference field="4" count="1" selected="0">
            <x v="5"/>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9E9A82-949C-624A-B3D6-040F5C5EF0AE}" name="PivotTable2" cacheId="3"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6">
  <location ref="D24:E28" firstHeaderRow="1" firstDataRow="1" firstDataCol="1"/>
  <pivotFields count="7">
    <pivotField dataField="1" showAll="0"/>
    <pivotField showAll="0"/>
    <pivotField showAll="0"/>
    <pivotField showAll="0"/>
    <pivotField axis="axisRow" showAll="0">
      <items count="9">
        <item m="1" x="4"/>
        <item m="1" x="3"/>
        <item m="1" x="7"/>
        <item m="1" x="6"/>
        <item m="1" x="5"/>
        <item x="2"/>
        <item x="0"/>
        <item x="1"/>
        <item t="default"/>
      </items>
    </pivotField>
    <pivotField showAll="0"/>
    <pivotField showAll="0"/>
  </pivotFields>
  <rowFields count="1">
    <field x="4"/>
  </rowFields>
  <rowItems count="4">
    <i>
      <x v="5"/>
    </i>
    <i>
      <x v="6"/>
    </i>
    <i>
      <x v="7"/>
    </i>
    <i t="grand">
      <x/>
    </i>
  </rowItems>
  <colItems count="1">
    <i/>
  </colItems>
  <dataFields count="1">
    <dataField name="Anzahl v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7"/>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1984E2-BDFF-4549-A63A-33A35F1F3033}" name="Tabelle6" displayName="Tabelle6" ref="B4:F8" totalsRowShown="0">
  <autoFilter ref="B4:F8" xr:uid="{6E1984E2-BDFF-4549-A63A-33A35F1F3033}"/>
  <tableColumns count="5">
    <tableColumn id="1" xr3:uid="{4F8C3FF4-2009-A440-8C35-7327631AA8E4}" name="Sustainability Category" dataDxfId="6"/>
    <tableColumn id="2" xr3:uid="{20C4FAD8-28D5-BB4D-BD11-CD4E20C6DB83}" name="Directly available"/>
    <tableColumn id="3" xr3:uid="{1F73F20C-8A00-AF4E-A087-E537A4167D89}" name="Indirectly available"/>
    <tableColumn id="5" xr3:uid="{38FE91A1-006A-8E4E-B3C2-D0D175ACF93B}" name="Extendable"/>
    <tableColumn id="6" xr3:uid="{6BD12472-4860-8A4E-9800-5BB3D52616DF}" name="Not present"/>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86FCDA-72C1-8D48-8C8F-8E704575E750}" name="Tabelle1" displayName="Tabelle1" ref="A3:G24" totalsRowShown="0" headerRowDxfId="5" tableBorderDxfId="4">
  <autoFilter ref="A3:G24" xr:uid="{E786FCDA-72C1-8D48-8C8F-8E704575E750}"/>
  <tableColumns count="7">
    <tableColumn id="1" xr3:uid="{9564913F-686D-7C4F-9879-EC30E4757737}" name="ID">
      <calculatedColumnFormula xml:space="preserve"> "Econ" &amp; ROW(A4) - 3</calculatedColumnFormula>
    </tableColumn>
    <tableColumn id="7" xr3:uid="{5E3D74EF-8D00-2145-A90F-BEAF814D92C8}" name="Category"/>
    <tableColumn id="2" xr3:uid="{51681C70-F041-1349-B37C-F3726D6D80F0}" name="Process-Level Metric"/>
    <tableColumn id="3" xr3:uid="{A98E4854-50B3-404F-8524-FCB14ECEF50B}" name="Source"/>
    <tableColumn id="4" xr3:uid="{0F7B75AA-1BCB-3841-A8E3-2B4500885544}" name="SAP Status"/>
    <tableColumn id="5" xr3:uid="{AF01C3EA-82F8-F142-953D-3DB1F021A703}" name="SAP Location / Table"/>
    <tableColumn id="6" xr3:uid="{EEBCBDB2-F20A-9A43-84B8-558BD9ECA812}" name="Note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ABE54D-0611-AB42-BC84-59D5941F9A5E}" name="Tabelle2" displayName="Tabelle2" ref="A3:G49" totalsRowShown="0" headerRowDxfId="3" tableBorderDxfId="2">
  <autoFilter ref="A3:G49" xr:uid="{5AABE54D-0611-AB42-BC84-59D5941F9A5E}"/>
  <tableColumns count="7">
    <tableColumn id="1" xr3:uid="{A92F6CC6-1BFA-F946-B543-60E986B97C2B}" name="ID">
      <calculatedColumnFormula xml:space="preserve"> "Env" &amp; ROW(A4) - 3</calculatedColumnFormula>
    </tableColumn>
    <tableColumn id="7" xr3:uid="{CE2E6DF9-6B94-1945-A0B6-BFDE4DF3E964}" name="Category"/>
    <tableColumn id="2" xr3:uid="{6D4B9198-C3D7-DB46-85EA-4658B73FE2DD}" name="Process-Level Metric"/>
    <tableColumn id="3" xr3:uid="{6531A224-23E1-E447-886C-36028953622F}" name="Source"/>
    <tableColumn id="4" xr3:uid="{D7BD6B43-8EE7-8E4C-A6CC-F1A0EC2D15D5}" name="SAP Status"/>
    <tableColumn id="5" xr3:uid="{DA85365B-3A60-D146-B19C-627AE5CAFA4C}" name="SAP Location"/>
    <tableColumn id="6" xr3:uid="{1A88E850-6AF9-2E4A-BB13-A1C009377A67}" name="Notes"/>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2DBDF2-610F-504F-AF5B-1A7B00026BA1}" name="Tabelle3" displayName="Tabelle3" ref="A3:G64" totalsRowShown="0" headerRowDxfId="1" tableBorderDxfId="0">
  <autoFilter ref="A3:G64" xr:uid="{FB2DBDF2-610F-504F-AF5B-1A7B00026BA1}"/>
  <tableColumns count="7">
    <tableColumn id="1" xr3:uid="{552FE481-211B-754C-83EC-EA152761F47B}" name="ID">
      <calculatedColumnFormula xml:space="preserve"> "Soc" &amp; ROW(A4) - 3</calculatedColumnFormula>
    </tableColumn>
    <tableColumn id="7" xr3:uid="{A118B0D2-CEAB-D341-AFAB-7CF31D7AB95A}" name="Category"/>
    <tableColumn id="2" xr3:uid="{B39B4180-F98B-4947-AC63-96B146B37931}" name="Process-Level Metric"/>
    <tableColumn id="3" xr3:uid="{A2F18CCA-D832-8246-BBC0-9BF14A4B1E39}" name="Source"/>
    <tableColumn id="4" xr3:uid="{76E3EB01-CBC5-9949-B7ED-CE6B4E9C51E5}" name="SAP Status"/>
    <tableColumn id="5" xr3:uid="{3F6A2382-A214-2E41-BC5B-6A06CEFF8411}" name="SAP Location"/>
    <tableColumn id="6" xr3:uid="{298DA9DE-83C3-BC40-A3D3-EA9CE740B72F}" name="Notes"/>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89ACF2-5469-274B-B155-FD70A54681EC}" name="Tabelle4" displayName="Tabelle4" ref="A3:G19" totalsRowShown="0" headerRowDxfId="8" tableBorderDxfId="7">
  <autoFilter ref="A3:G19" xr:uid="{1989ACF2-5469-274B-B155-FD70A54681EC}"/>
  <tableColumns count="7">
    <tableColumn id="1" xr3:uid="{2AB3735C-1A45-4D4A-AFF9-9394763938D7}" name="ID">
      <calculatedColumnFormula xml:space="preserve"> "Gov" &amp; ROW(A4) - 3</calculatedColumnFormula>
    </tableColumn>
    <tableColumn id="7" xr3:uid="{6B58D919-37B5-624B-AE3E-3872270E1883}" name="Category"/>
    <tableColumn id="2" xr3:uid="{343AFEE7-E3FE-8843-AB87-D39EB754B61A}" name="Process-Level Metric"/>
    <tableColumn id="3" xr3:uid="{DFD9905A-DD78-1347-92BE-5E57B699DA1B}" name="Source"/>
    <tableColumn id="4" xr3:uid="{150EB0B8-9340-A04C-BD50-3E72F0CD9C67}" name="SAP Status"/>
    <tableColumn id="5" xr3:uid="{D602A7FC-8527-FB41-AA4B-11D4D12EA2E6}" name="SAP Location"/>
    <tableColumn id="6" xr3:uid="{36FD2CD9-47DB-1947-AD1E-AB6798025560}" name="Not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0766-F511-1D45-B046-30705D13DEFC}">
  <sheetPr>
    <tabColor theme="1"/>
  </sheetPr>
  <dimension ref="B4:I29"/>
  <sheetViews>
    <sheetView topLeftCell="B5" zoomScaleNormal="100" workbookViewId="0">
      <selection activeCell="F12" sqref="F12"/>
    </sheetView>
  </sheetViews>
  <sheetFormatPr baseColWidth="10" defaultRowHeight="16" x14ac:dyDescent="0.2"/>
  <cols>
    <col min="2" max="2" width="50.6640625" customWidth="1"/>
    <col min="3" max="3" width="21" customWidth="1"/>
    <col min="4" max="4" width="25" customWidth="1"/>
    <col min="5" max="5" width="21.33203125" bestFit="1" customWidth="1"/>
    <col min="6" max="6" width="19.83203125" bestFit="1" customWidth="1"/>
    <col min="7" max="7" width="21.1640625" bestFit="1" customWidth="1"/>
    <col min="8" max="8" width="14.1640625" bestFit="1" customWidth="1"/>
    <col min="9" max="9" width="14.83203125" bestFit="1" customWidth="1"/>
    <col min="10" max="10" width="22.83203125" bestFit="1" customWidth="1"/>
    <col min="11" max="11" width="16.33203125" bestFit="1" customWidth="1"/>
    <col min="12" max="12" width="51.5" bestFit="1" customWidth="1"/>
    <col min="13" max="13" width="21.83203125" bestFit="1" customWidth="1"/>
    <col min="14" max="14" width="22.33203125" bestFit="1" customWidth="1"/>
  </cols>
  <sheetData>
    <row r="4" spans="2:7" ht="20" customHeight="1" x14ac:dyDescent="0.2">
      <c r="B4" t="s">
        <v>254</v>
      </c>
      <c r="C4" s="23" t="s">
        <v>314</v>
      </c>
      <c r="D4" s="18" t="s">
        <v>315</v>
      </c>
      <c r="E4" s="24" t="s">
        <v>301</v>
      </c>
      <c r="F4" s="25" t="s">
        <v>255</v>
      </c>
      <c r="G4" s="30" t="s">
        <v>232</v>
      </c>
    </row>
    <row r="5" spans="2:7" ht="35" customHeight="1" x14ac:dyDescent="0.2">
      <c r="B5" s="19" t="s">
        <v>228</v>
      </c>
      <c r="C5">
        <f>GETPIVOTDATA("ID",Economic!$C$29,"SAP Status","directly available")</f>
        <v>9</v>
      </c>
      <c r="D5">
        <f>GETPIVOTDATA("ID",Economic!$C$29,"SAP Status","indirectly available")</f>
        <v>2</v>
      </c>
      <c r="E5">
        <f>GETPIVOTDATA("ID",Economic!$C$29,"SAP Status","extendable")</f>
        <v>5</v>
      </c>
      <c r="F5">
        <f>GETPIVOTDATA("ID",Economic!$C$29,"SAP Status","not present")</f>
        <v>5</v>
      </c>
      <c r="G5" s="16">
        <f>SUM(C5:F5)</f>
        <v>21</v>
      </c>
    </row>
    <row r="6" spans="2:7" ht="28" customHeight="1" x14ac:dyDescent="0.2">
      <c r="B6" s="20" t="s">
        <v>229</v>
      </c>
      <c r="C6">
        <v>0</v>
      </c>
      <c r="D6">
        <f>GETPIVOTDATA("ID",Environment!$E$54,"SAP Status","indirectly available")</f>
        <v>1</v>
      </c>
      <c r="E6">
        <f>GETPIVOTDATA("ID",Environment!$E$54,"SAP Status","extendable")</f>
        <v>5</v>
      </c>
      <c r="F6">
        <f>GETPIVOTDATA("ID",Environment!$E$54,"SAP Status","not present")</f>
        <v>40</v>
      </c>
      <c r="G6" s="16">
        <f>SUM(C6:F6)</f>
        <v>46</v>
      </c>
    </row>
    <row r="7" spans="2:7" ht="28" customHeight="1" x14ac:dyDescent="0.2">
      <c r="B7" s="21" t="s">
        <v>230</v>
      </c>
      <c r="C7">
        <f>GETPIVOTDATA("ID",Social!$D$69,"SAP Status","directly available")</f>
        <v>4</v>
      </c>
      <c r="D7">
        <f>GETPIVOTDATA("ID",Social!$D$69,"SAP Status","indirectly available")</f>
        <v>10</v>
      </c>
      <c r="E7">
        <f>GETPIVOTDATA("ID",Social!$D$69,"SAP Status","extendable")</f>
        <v>18</v>
      </c>
      <c r="F7">
        <f>GETPIVOTDATA("ID",Social!$D$69,"SAP Status","not present")</f>
        <v>29</v>
      </c>
      <c r="G7" s="16">
        <f>SUM(C7:F7)</f>
        <v>61</v>
      </c>
    </row>
    <row r="8" spans="2:7" ht="23" customHeight="1" thickBot="1" x14ac:dyDescent="0.25">
      <c r="B8" s="22" t="s">
        <v>231</v>
      </c>
      <c r="C8" s="26">
        <f>GETPIVOTDATA("ID",Governance!$D$24,"SAP Status","directly available")</f>
        <v>2</v>
      </c>
      <c r="D8" s="26">
        <f>GETPIVOTDATA("ID",Governance!$D$24,"SAP Status","indirectly available")</f>
        <v>2</v>
      </c>
      <c r="E8" s="26">
        <v>0</v>
      </c>
      <c r="F8" s="26">
        <f>GETPIVOTDATA("ID",Governance!$D$24,"SAP Status","not present")</f>
        <v>12</v>
      </c>
      <c r="G8" s="16">
        <f>SUM(C8:F8)</f>
        <v>16</v>
      </c>
    </row>
    <row r="9" spans="2:7" ht="17" thickTop="1" x14ac:dyDescent="0.2">
      <c r="B9" s="16" t="s">
        <v>232</v>
      </c>
      <c r="C9" s="16">
        <f>SUM(C5:C8)</f>
        <v>15</v>
      </c>
      <c r="D9" s="16">
        <f t="shared" ref="D9:F9" si="0">SUM(D5:D8)</f>
        <v>15</v>
      </c>
      <c r="E9" s="16">
        <f>SUM(E5:E8)</f>
        <v>28</v>
      </c>
      <c r="F9" s="16">
        <f t="shared" si="0"/>
        <v>86</v>
      </c>
      <c r="G9" s="16">
        <f>SUM(C9:F9)</f>
        <v>144</v>
      </c>
    </row>
    <row r="10" spans="2:7" x14ac:dyDescent="0.2">
      <c r="B10" t="s">
        <v>281</v>
      </c>
      <c r="C10" s="33">
        <f>C9/G9</f>
        <v>0.10416666666666667</v>
      </c>
      <c r="D10" s="33">
        <f>D9/G9</f>
        <v>0.10416666666666667</v>
      </c>
      <c r="E10" s="33">
        <f>E9/G9</f>
        <v>0.19444444444444445</v>
      </c>
      <c r="F10" s="42">
        <f>F9/G9</f>
        <v>0.59722222222222221</v>
      </c>
    </row>
    <row r="11" spans="2:7" x14ac:dyDescent="0.2">
      <c r="C11" s="46">
        <f>(C9+D9++E9)/G9</f>
        <v>0.40277777777777779</v>
      </c>
      <c r="D11" s="46"/>
      <c r="E11" s="46"/>
    </row>
    <row r="24" spans="5:9" x14ac:dyDescent="0.2">
      <c r="E24" s="11" t="s">
        <v>191</v>
      </c>
      <c r="F24" t="s">
        <v>316</v>
      </c>
      <c r="G24" t="s">
        <v>317</v>
      </c>
      <c r="H24" t="s">
        <v>318</v>
      </c>
      <c r="I24" t="s">
        <v>319</v>
      </c>
    </row>
    <row r="25" spans="5:9" x14ac:dyDescent="0.2">
      <c r="E25" s="12" t="s">
        <v>228</v>
      </c>
      <c r="F25">
        <v>9</v>
      </c>
      <c r="G25">
        <v>2</v>
      </c>
      <c r="H25">
        <v>5</v>
      </c>
      <c r="I25">
        <v>5</v>
      </c>
    </row>
    <row r="26" spans="5:9" x14ac:dyDescent="0.2">
      <c r="E26" s="12" t="s">
        <v>229</v>
      </c>
      <c r="F26">
        <v>0</v>
      </c>
      <c r="G26">
        <v>1</v>
      </c>
      <c r="H26">
        <v>5</v>
      </c>
      <c r="I26">
        <v>40</v>
      </c>
    </row>
    <row r="27" spans="5:9" x14ac:dyDescent="0.2">
      <c r="E27" s="12" t="s">
        <v>231</v>
      </c>
      <c r="F27">
        <v>2</v>
      </c>
      <c r="G27">
        <v>2</v>
      </c>
      <c r="H27">
        <v>0</v>
      </c>
      <c r="I27">
        <v>12</v>
      </c>
    </row>
    <row r="28" spans="5:9" x14ac:dyDescent="0.2">
      <c r="E28" s="12" t="s">
        <v>230</v>
      </c>
      <c r="F28">
        <v>4</v>
      </c>
      <c r="G28">
        <v>10</v>
      </c>
      <c r="H28">
        <v>18</v>
      </c>
      <c r="I28">
        <v>29</v>
      </c>
    </row>
    <row r="29" spans="5:9" x14ac:dyDescent="0.2">
      <c r="E29" s="12" t="s">
        <v>192</v>
      </c>
      <c r="F29">
        <v>15</v>
      </c>
      <c r="G29">
        <v>15</v>
      </c>
      <c r="H29">
        <v>28</v>
      </c>
      <c r="I29">
        <v>86</v>
      </c>
    </row>
  </sheetData>
  <mergeCells count="1">
    <mergeCell ref="C11:E11"/>
  </mergeCells>
  <pageMargins left="0.7" right="0.7" top="0.78740157499999996" bottom="0.78740157499999996" header="0.3" footer="0.3"/>
  <pageSetup paperSize="9" orientation="portrait" horizontalDpi="0" verticalDpi="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0EB8F-D5B8-DC48-8EC0-4C732B35045D}">
  <sheetPr>
    <tabColor theme="3"/>
  </sheetPr>
  <dimension ref="A3:G34"/>
  <sheetViews>
    <sheetView tabSelected="1" topLeftCell="A9" zoomScale="113" workbookViewId="0">
      <selection activeCell="B29" sqref="B29"/>
    </sheetView>
  </sheetViews>
  <sheetFormatPr baseColWidth="10" defaultRowHeight="16" x14ac:dyDescent="0.2"/>
  <cols>
    <col min="2" max="2" width="34.6640625" customWidth="1"/>
    <col min="3" max="3" width="21.33203125" customWidth="1"/>
    <col min="4" max="4" width="12.5" bestFit="1" customWidth="1"/>
    <col min="5" max="5" width="75" customWidth="1"/>
    <col min="6" max="6" width="85.83203125" customWidth="1"/>
    <col min="7" max="7" width="51.5" customWidth="1"/>
  </cols>
  <sheetData>
    <row r="3" spans="1:7" x14ac:dyDescent="0.2">
      <c r="A3" s="4" t="s">
        <v>0</v>
      </c>
      <c r="B3" s="5" t="s">
        <v>283</v>
      </c>
      <c r="C3" s="5" t="s">
        <v>1</v>
      </c>
      <c r="D3" s="5" t="s">
        <v>2</v>
      </c>
      <c r="E3" s="5" t="s">
        <v>3</v>
      </c>
      <c r="F3" s="5" t="s">
        <v>186</v>
      </c>
      <c r="G3" s="5" t="s">
        <v>5</v>
      </c>
    </row>
    <row r="4" spans="1:7" x14ac:dyDescent="0.2">
      <c r="A4" t="str">
        <f t="shared" ref="A4:A24" si="0" xml:space="preserve"> "Econ" &amp; ROW(A4) - 3</f>
        <v>Econ1</v>
      </c>
      <c r="B4" s="34" t="s">
        <v>295</v>
      </c>
      <c r="C4" s="1" t="s">
        <v>6</v>
      </c>
      <c r="D4" s="6" t="s">
        <v>14</v>
      </c>
      <c r="E4" s="3" t="s">
        <v>312</v>
      </c>
      <c r="F4" t="s">
        <v>259</v>
      </c>
    </row>
    <row r="5" spans="1:7" x14ac:dyDescent="0.2">
      <c r="A5" t="str">
        <f t="shared" si="0"/>
        <v>Econ2</v>
      </c>
      <c r="B5" s="34" t="s">
        <v>295</v>
      </c>
      <c r="C5" s="1" t="s">
        <v>7</v>
      </c>
      <c r="D5" s="6" t="s">
        <v>14</v>
      </c>
      <c r="E5" s="3" t="s">
        <v>312</v>
      </c>
      <c r="F5" t="s">
        <v>258</v>
      </c>
    </row>
    <row r="6" spans="1:7" x14ac:dyDescent="0.2">
      <c r="A6" t="str">
        <f t="shared" si="0"/>
        <v>Econ3</v>
      </c>
      <c r="B6" s="34" t="s">
        <v>306</v>
      </c>
      <c r="C6" s="1" t="s">
        <v>310</v>
      </c>
      <c r="D6" s="6" t="s">
        <v>14</v>
      </c>
      <c r="E6" s="3" t="s">
        <v>312</v>
      </c>
      <c r="F6" t="s">
        <v>311</v>
      </c>
    </row>
    <row r="7" spans="1:7" x14ac:dyDescent="0.2">
      <c r="A7" t="str">
        <f t="shared" si="0"/>
        <v>Econ4</v>
      </c>
      <c r="B7" s="34" t="s">
        <v>296</v>
      </c>
      <c r="C7" s="1" t="s">
        <v>8</v>
      </c>
      <c r="D7" s="6" t="s">
        <v>14</v>
      </c>
      <c r="E7" s="13" t="s">
        <v>194</v>
      </c>
      <c r="F7" t="s">
        <v>202</v>
      </c>
      <c r="G7" t="s">
        <v>222</v>
      </c>
    </row>
    <row r="8" spans="1:7" ht="15" customHeight="1" x14ac:dyDescent="0.2">
      <c r="A8" t="str">
        <f t="shared" si="0"/>
        <v>Econ5</v>
      </c>
      <c r="B8" s="34" t="s">
        <v>295</v>
      </c>
      <c r="C8" s="2" t="s">
        <v>9</v>
      </c>
      <c r="D8" s="6" t="s">
        <v>14</v>
      </c>
      <c r="E8" s="36" t="s">
        <v>313</v>
      </c>
      <c r="G8" t="s">
        <v>190</v>
      </c>
    </row>
    <row r="9" spans="1:7" x14ac:dyDescent="0.2">
      <c r="A9" t="str">
        <f t="shared" si="0"/>
        <v>Econ6</v>
      </c>
      <c r="B9" s="34" t="s">
        <v>295</v>
      </c>
      <c r="C9" t="s">
        <v>10</v>
      </c>
      <c r="D9" s="7" t="s">
        <v>15</v>
      </c>
      <c r="E9" s="3" t="s">
        <v>312</v>
      </c>
      <c r="F9" s="1" t="s">
        <v>261</v>
      </c>
    </row>
    <row r="10" spans="1:7" x14ac:dyDescent="0.2">
      <c r="A10" t="str">
        <f t="shared" si="0"/>
        <v>Econ7</v>
      </c>
      <c r="B10" s="34" t="s">
        <v>295</v>
      </c>
      <c r="C10" t="s">
        <v>11</v>
      </c>
      <c r="D10" s="7" t="s">
        <v>15</v>
      </c>
      <c r="E10" s="3" t="s">
        <v>312</v>
      </c>
      <c r="F10" t="s">
        <v>212</v>
      </c>
    </row>
    <row r="11" spans="1:7" x14ac:dyDescent="0.2">
      <c r="A11" t="str">
        <f t="shared" si="0"/>
        <v>Econ8</v>
      </c>
      <c r="B11" s="34" t="s">
        <v>295</v>
      </c>
      <c r="C11" t="s">
        <v>16</v>
      </c>
      <c r="D11" s="6" t="s">
        <v>18</v>
      </c>
      <c r="E11" s="13" t="s">
        <v>194</v>
      </c>
      <c r="F11" t="s">
        <v>202</v>
      </c>
      <c r="G11" t="s">
        <v>235</v>
      </c>
    </row>
    <row r="12" spans="1:7" x14ac:dyDescent="0.2">
      <c r="A12" t="str">
        <f t="shared" si="0"/>
        <v>Econ9</v>
      </c>
      <c r="B12" s="34" t="s">
        <v>295</v>
      </c>
      <c r="C12" t="s">
        <v>17</v>
      </c>
      <c r="D12" s="6" t="s">
        <v>19</v>
      </c>
      <c r="E12" s="36" t="s">
        <v>313</v>
      </c>
      <c r="F12" t="s">
        <v>187</v>
      </c>
    </row>
    <row r="13" spans="1:7" x14ac:dyDescent="0.2">
      <c r="A13" t="str">
        <f t="shared" si="0"/>
        <v>Econ10</v>
      </c>
      <c r="B13" s="34" t="s">
        <v>320</v>
      </c>
      <c r="C13" t="s">
        <v>12</v>
      </c>
      <c r="D13" s="7" t="s">
        <v>15</v>
      </c>
      <c r="E13" s="35" t="s">
        <v>185</v>
      </c>
    </row>
    <row r="14" spans="1:7" x14ac:dyDescent="0.2">
      <c r="A14" t="str">
        <f t="shared" si="0"/>
        <v>Econ11</v>
      </c>
      <c r="B14" s="34" t="s">
        <v>320</v>
      </c>
      <c r="C14" t="s">
        <v>13</v>
      </c>
      <c r="D14" s="7" t="s">
        <v>15</v>
      </c>
      <c r="E14" s="13" t="s">
        <v>194</v>
      </c>
      <c r="F14" t="s">
        <v>202</v>
      </c>
      <c r="G14" t="s">
        <v>188</v>
      </c>
    </row>
    <row r="15" spans="1:7" x14ac:dyDescent="0.2">
      <c r="A15" t="str">
        <f t="shared" si="0"/>
        <v>Econ12</v>
      </c>
      <c r="B15" s="34" t="s">
        <v>296</v>
      </c>
      <c r="C15" t="s">
        <v>20</v>
      </c>
      <c r="D15" s="7" t="s">
        <v>15</v>
      </c>
      <c r="E15" s="3" t="s">
        <v>312</v>
      </c>
      <c r="F15" s="1" t="s">
        <v>260</v>
      </c>
    </row>
    <row r="16" spans="1:7" x14ac:dyDescent="0.2">
      <c r="A16" t="str">
        <f t="shared" si="0"/>
        <v>Econ13</v>
      </c>
      <c r="B16" s="34" t="s">
        <v>296</v>
      </c>
      <c r="C16" t="s">
        <v>21</v>
      </c>
      <c r="D16" s="6" t="s">
        <v>22</v>
      </c>
      <c r="E16" s="13" t="s">
        <v>194</v>
      </c>
      <c r="F16" t="s">
        <v>244</v>
      </c>
      <c r="G16" t="s">
        <v>243</v>
      </c>
    </row>
    <row r="17" spans="1:7" x14ac:dyDescent="0.2">
      <c r="A17" t="str">
        <f t="shared" si="0"/>
        <v>Econ14</v>
      </c>
      <c r="B17" s="34" t="s">
        <v>296</v>
      </c>
      <c r="C17" t="s">
        <v>23</v>
      </c>
      <c r="D17" s="7" t="s">
        <v>15</v>
      </c>
      <c r="E17" s="3" t="s">
        <v>312</v>
      </c>
      <c r="F17" t="s">
        <v>262</v>
      </c>
      <c r="G17" t="s">
        <v>200</v>
      </c>
    </row>
    <row r="18" spans="1:7" x14ac:dyDescent="0.2">
      <c r="A18" t="str">
        <f t="shared" si="0"/>
        <v>Econ15</v>
      </c>
      <c r="B18" s="34" t="s">
        <v>320</v>
      </c>
      <c r="C18" t="s">
        <v>24</v>
      </c>
      <c r="D18" s="7" t="s">
        <v>15</v>
      </c>
      <c r="E18" s="35" t="s">
        <v>185</v>
      </c>
    </row>
    <row r="19" spans="1:7" x14ac:dyDescent="0.2">
      <c r="A19" t="str">
        <f t="shared" si="0"/>
        <v>Econ16</v>
      </c>
      <c r="B19" s="34" t="s">
        <v>296</v>
      </c>
      <c r="C19" t="s">
        <v>25</v>
      </c>
      <c r="D19" s="7" t="s">
        <v>15</v>
      </c>
      <c r="E19" s="3" t="s">
        <v>312</v>
      </c>
      <c r="F19" t="s">
        <v>263</v>
      </c>
      <c r="G19" t="s">
        <v>200</v>
      </c>
    </row>
    <row r="20" spans="1:7" x14ac:dyDescent="0.2">
      <c r="A20" t="str">
        <f t="shared" si="0"/>
        <v>Econ17</v>
      </c>
      <c r="B20" s="34" t="s">
        <v>306</v>
      </c>
      <c r="C20" t="s">
        <v>26</v>
      </c>
      <c r="D20" s="6" t="s">
        <v>27</v>
      </c>
      <c r="E20" s="3" t="s">
        <v>312</v>
      </c>
      <c r="F20" t="s">
        <v>203</v>
      </c>
      <c r="G20" t="s">
        <v>189</v>
      </c>
    </row>
    <row r="21" spans="1:7" x14ac:dyDescent="0.2">
      <c r="A21" t="str">
        <f t="shared" si="0"/>
        <v>Econ18</v>
      </c>
      <c r="B21" s="34" t="s">
        <v>320</v>
      </c>
      <c r="C21" t="s">
        <v>28</v>
      </c>
      <c r="D21" s="7" t="s">
        <v>15</v>
      </c>
      <c r="E21" s="13" t="s">
        <v>194</v>
      </c>
      <c r="F21" t="s">
        <v>202</v>
      </c>
      <c r="G21" t="s">
        <v>188</v>
      </c>
    </row>
    <row r="22" spans="1:7" x14ac:dyDescent="0.2">
      <c r="A22" t="str">
        <f t="shared" si="0"/>
        <v>Econ19</v>
      </c>
      <c r="B22" s="34" t="s">
        <v>320</v>
      </c>
      <c r="C22" t="s">
        <v>29</v>
      </c>
      <c r="D22" s="7" t="s">
        <v>15</v>
      </c>
      <c r="E22" s="35" t="s">
        <v>185</v>
      </c>
    </row>
    <row r="23" spans="1:7" x14ac:dyDescent="0.2">
      <c r="A23" t="str">
        <f t="shared" si="0"/>
        <v>Econ20</v>
      </c>
      <c r="B23" s="34" t="s">
        <v>320</v>
      </c>
      <c r="C23" t="s">
        <v>30</v>
      </c>
      <c r="D23" s="7" t="s">
        <v>15</v>
      </c>
      <c r="E23" s="35" t="s">
        <v>185</v>
      </c>
    </row>
    <row r="24" spans="1:7" x14ac:dyDescent="0.2">
      <c r="A24" t="str">
        <f t="shared" si="0"/>
        <v>Econ21</v>
      </c>
      <c r="B24" s="34" t="s">
        <v>320</v>
      </c>
      <c r="C24" t="s">
        <v>31</v>
      </c>
      <c r="D24" s="7" t="s">
        <v>15</v>
      </c>
      <c r="E24" s="35" t="s">
        <v>185</v>
      </c>
      <c r="G24" s="32" t="s">
        <v>276</v>
      </c>
    </row>
    <row r="26" spans="1:7" x14ac:dyDescent="0.2">
      <c r="B26" t="s">
        <v>299</v>
      </c>
      <c r="C26">
        <f>COUNTA(_xlfn.UNIQUE(Tabelle1[Category]))</f>
        <v>4</v>
      </c>
    </row>
    <row r="27" spans="1:7" x14ac:dyDescent="0.2">
      <c r="B27" t="s">
        <v>300</v>
      </c>
      <c r="C27">
        <f>COUNTA(Tabelle1[Process-Level Metric])</f>
        <v>21</v>
      </c>
    </row>
    <row r="29" spans="1:7" x14ac:dyDescent="0.2">
      <c r="C29" s="11" t="s">
        <v>191</v>
      </c>
      <c r="D29" t="s">
        <v>193</v>
      </c>
    </row>
    <row r="30" spans="1:7" x14ac:dyDescent="0.2">
      <c r="C30" s="12" t="s">
        <v>312</v>
      </c>
      <c r="D30">
        <v>9</v>
      </c>
      <c r="E30" s="40"/>
    </row>
    <row r="31" spans="1:7" x14ac:dyDescent="0.2">
      <c r="C31" s="12" t="s">
        <v>313</v>
      </c>
      <c r="D31">
        <v>2</v>
      </c>
      <c r="E31" s="40"/>
      <c r="F31" s="41"/>
    </row>
    <row r="32" spans="1:7" x14ac:dyDescent="0.2">
      <c r="C32" s="12" t="s">
        <v>194</v>
      </c>
      <c r="D32">
        <v>5</v>
      </c>
      <c r="E32" s="40"/>
    </row>
    <row r="33" spans="3:6" x14ac:dyDescent="0.2">
      <c r="C33" s="12" t="s">
        <v>185</v>
      </c>
      <c r="D33">
        <v>5</v>
      </c>
      <c r="E33" s="40"/>
      <c r="F33" s="41"/>
    </row>
    <row r="34" spans="3:6" x14ac:dyDescent="0.2">
      <c r="C34" s="12" t="s">
        <v>192</v>
      </c>
      <c r="D34">
        <v>21</v>
      </c>
    </row>
  </sheetData>
  <phoneticPr fontId="3" type="noConversion"/>
  <pageMargins left="0.7" right="0.7" top="0.78740157499999996" bottom="0.78740157499999996" header="0.3" footer="0.3"/>
  <pageSetup paperSize="9" orientation="portrait" horizontalDpi="0" verticalDpi="0"/>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7BD9-6270-BD4C-943F-6A25CCC3F4B4}">
  <sheetPr>
    <tabColor theme="6"/>
  </sheetPr>
  <dimension ref="A3:H58"/>
  <sheetViews>
    <sheetView topLeftCell="A54" zoomScale="112" workbookViewId="0">
      <selection activeCell="C30" sqref="C30"/>
    </sheetView>
  </sheetViews>
  <sheetFormatPr baseColWidth="10" defaultRowHeight="16" x14ac:dyDescent="0.2"/>
  <cols>
    <col min="1" max="2" width="20.5" customWidth="1"/>
    <col min="3" max="3" width="118.1640625" customWidth="1"/>
    <col min="4" max="4" width="14.33203125" customWidth="1"/>
    <col min="5" max="5" width="21.33203125" bestFit="1" customWidth="1"/>
    <col min="6" max="6" width="12" bestFit="1" customWidth="1"/>
    <col min="7" max="7" width="56.1640625" customWidth="1"/>
  </cols>
  <sheetData>
    <row r="3" spans="1:7" x14ac:dyDescent="0.2">
      <c r="A3" s="4" t="s">
        <v>0</v>
      </c>
      <c r="B3" s="5" t="s">
        <v>283</v>
      </c>
      <c r="C3" s="5" t="s">
        <v>1</v>
      </c>
      <c r="D3" s="5" t="s">
        <v>2</v>
      </c>
      <c r="E3" s="5" t="s">
        <v>3</v>
      </c>
      <c r="F3" s="5" t="s">
        <v>4</v>
      </c>
      <c r="G3" s="5" t="s">
        <v>5</v>
      </c>
    </row>
    <row r="4" spans="1:7" x14ac:dyDescent="0.2">
      <c r="A4" s="37" t="str">
        <f xml:space="preserve"> "Env" &amp; ROW(A4) - 3</f>
        <v>Env1</v>
      </c>
      <c r="B4" s="38" t="s">
        <v>284</v>
      </c>
      <c r="C4" s="14" t="s">
        <v>56</v>
      </c>
      <c r="D4" s="7" t="s">
        <v>15</v>
      </c>
      <c r="E4" s="10" t="s">
        <v>185</v>
      </c>
    </row>
    <row r="5" spans="1:7" ht="15" customHeight="1" x14ac:dyDescent="0.2">
      <c r="A5" s="37" t="str">
        <f t="shared" ref="A5:A49" si="0" xml:space="preserve"> "Env" &amp; ROW(A5) - 3</f>
        <v>Env2</v>
      </c>
      <c r="B5" s="38" t="s">
        <v>284</v>
      </c>
      <c r="C5" s="14" t="s">
        <v>57</v>
      </c>
      <c r="D5" s="7" t="s">
        <v>15</v>
      </c>
      <c r="E5" s="10" t="s">
        <v>185</v>
      </c>
    </row>
    <row r="6" spans="1:7" x14ac:dyDescent="0.2">
      <c r="A6" s="37" t="str">
        <f t="shared" si="0"/>
        <v>Env3</v>
      </c>
      <c r="B6" s="38" t="s">
        <v>284</v>
      </c>
      <c r="C6" s="14" t="s">
        <v>58</v>
      </c>
      <c r="D6" s="7" t="s">
        <v>15</v>
      </c>
      <c r="E6" s="10" t="s">
        <v>185</v>
      </c>
    </row>
    <row r="7" spans="1:7" ht="14" customHeight="1" x14ac:dyDescent="0.2">
      <c r="A7" s="39" t="str">
        <f t="shared" si="0"/>
        <v>Env4</v>
      </c>
      <c r="B7" s="38" t="s">
        <v>284</v>
      </c>
      <c r="C7" s="15" t="s">
        <v>59</v>
      </c>
      <c r="D7" s="6" t="s">
        <v>60</v>
      </c>
      <c r="E7" s="10" t="s">
        <v>185</v>
      </c>
      <c r="G7" s="32" t="s">
        <v>275</v>
      </c>
    </row>
    <row r="8" spans="1:7" x14ac:dyDescent="0.2">
      <c r="A8" s="37" t="str">
        <f t="shared" si="0"/>
        <v>Env5</v>
      </c>
      <c r="B8" s="38" t="s">
        <v>284</v>
      </c>
      <c r="C8" s="14" t="s">
        <v>61</v>
      </c>
      <c r="D8" s="7" t="s">
        <v>15</v>
      </c>
      <c r="E8" s="10" t="s">
        <v>185</v>
      </c>
    </row>
    <row r="9" spans="1:7" x14ac:dyDescent="0.2">
      <c r="A9" s="37" t="str">
        <f t="shared" si="0"/>
        <v>Env6</v>
      </c>
      <c r="B9" s="45" t="s">
        <v>284</v>
      </c>
      <c r="C9" s="14" t="s">
        <v>62</v>
      </c>
      <c r="D9" s="9" t="s">
        <v>63</v>
      </c>
      <c r="E9" s="10" t="s">
        <v>185</v>
      </c>
    </row>
    <row r="10" spans="1:7" x14ac:dyDescent="0.2">
      <c r="A10" s="37" t="str">
        <f t="shared" si="0"/>
        <v>Env7</v>
      </c>
      <c r="B10" s="38" t="s">
        <v>284</v>
      </c>
      <c r="C10" s="14" t="s">
        <v>64</v>
      </c>
      <c r="D10" s="7" t="s">
        <v>15</v>
      </c>
      <c r="E10" s="10" t="s">
        <v>185</v>
      </c>
    </row>
    <row r="11" spans="1:7" x14ac:dyDescent="0.2">
      <c r="A11" s="37" t="str">
        <f t="shared" si="0"/>
        <v>Env8</v>
      </c>
      <c r="B11" s="38" t="s">
        <v>284</v>
      </c>
      <c r="C11" s="14" t="s">
        <v>65</v>
      </c>
      <c r="D11" s="7" t="s">
        <v>15</v>
      </c>
      <c r="E11" s="10" t="s">
        <v>185</v>
      </c>
    </row>
    <row r="12" spans="1:7" ht="15" customHeight="1" x14ac:dyDescent="0.2">
      <c r="A12" t="str">
        <f t="shared" si="0"/>
        <v>Env9</v>
      </c>
      <c r="B12" s="16" t="s">
        <v>285</v>
      </c>
      <c r="C12" t="s">
        <v>66</v>
      </c>
      <c r="D12" s="7" t="s">
        <v>15</v>
      </c>
      <c r="E12" s="10" t="s">
        <v>185</v>
      </c>
    </row>
    <row r="13" spans="1:7" x14ac:dyDescent="0.2">
      <c r="A13" t="str">
        <f t="shared" si="0"/>
        <v>Env10</v>
      </c>
      <c r="B13" s="16" t="s">
        <v>285</v>
      </c>
      <c r="C13" t="s">
        <v>67</v>
      </c>
      <c r="D13" s="7" t="s">
        <v>15</v>
      </c>
      <c r="E13" s="10" t="s">
        <v>185</v>
      </c>
    </row>
    <row r="14" spans="1:7" x14ac:dyDescent="0.2">
      <c r="A14" t="str">
        <f t="shared" si="0"/>
        <v>Env11</v>
      </c>
      <c r="B14" s="16" t="s">
        <v>285</v>
      </c>
      <c r="C14" t="s">
        <v>68</v>
      </c>
      <c r="D14" s="7" t="s">
        <v>15</v>
      </c>
      <c r="E14" s="10" t="s">
        <v>185</v>
      </c>
    </row>
    <row r="15" spans="1:7" ht="15" customHeight="1" x14ac:dyDescent="0.2">
      <c r="A15" s="29" t="str">
        <f t="shared" si="0"/>
        <v>Env12</v>
      </c>
      <c r="B15" s="16" t="s">
        <v>285</v>
      </c>
      <c r="C15" s="28" t="s">
        <v>197</v>
      </c>
      <c r="D15" s="9" t="s">
        <v>69</v>
      </c>
      <c r="E15" s="10" t="s">
        <v>185</v>
      </c>
    </row>
    <row r="16" spans="1:7" x14ac:dyDescent="0.2">
      <c r="A16" t="str">
        <f t="shared" si="0"/>
        <v>Env13</v>
      </c>
      <c r="B16" s="16" t="s">
        <v>285</v>
      </c>
      <c r="C16" t="s">
        <v>196</v>
      </c>
      <c r="D16" s="9" t="s">
        <v>69</v>
      </c>
      <c r="E16" s="10" t="s">
        <v>185</v>
      </c>
      <c r="G16" s="32" t="s">
        <v>275</v>
      </c>
    </row>
    <row r="17" spans="1:7" x14ac:dyDescent="0.2">
      <c r="A17" t="str">
        <f t="shared" si="0"/>
        <v>Env14</v>
      </c>
      <c r="B17" s="16" t="s">
        <v>285</v>
      </c>
      <c r="C17" t="s">
        <v>70</v>
      </c>
      <c r="D17" s="7" t="s">
        <v>15</v>
      </c>
      <c r="E17" s="13" t="s">
        <v>194</v>
      </c>
      <c r="F17" t="s">
        <v>204</v>
      </c>
      <c r="G17" t="s">
        <v>199</v>
      </c>
    </row>
    <row r="18" spans="1:7" x14ac:dyDescent="0.2">
      <c r="A18" t="str">
        <f t="shared" si="0"/>
        <v>Env15</v>
      </c>
      <c r="B18" s="16" t="s">
        <v>285</v>
      </c>
      <c r="C18" t="s">
        <v>71</v>
      </c>
      <c r="D18" s="7" t="s">
        <v>15</v>
      </c>
      <c r="E18" s="13" t="s">
        <v>194</v>
      </c>
      <c r="F18" t="s">
        <v>204</v>
      </c>
      <c r="G18" t="s">
        <v>199</v>
      </c>
    </row>
    <row r="19" spans="1:7" x14ac:dyDescent="0.2">
      <c r="A19" t="str">
        <f t="shared" si="0"/>
        <v>Env16</v>
      </c>
      <c r="B19" s="16" t="s">
        <v>285</v>
      </c>
      <c r="C19" t="s">
        <v>72</v>
      </c>
      <c r="D19" s="7" t="s">
        <v>15</v>
      </c>
      <c r="E19" s="13" t="s">
        <v>194</v>
      </c>
      <c r="F19" t="s">
        <v>204</v>
      </c>
      <c r="G19" t="s">
        <v>199</v>
      </c>
    </row>
    <row r="20" spans="1:7" x14ac:dyDescent="0.2">
      <c r="A20" t="str">
        <f t="shared" si="0"/>
        <v>Env17</v>
      </c>
      <c r="B20" s="16" t="s">
        <v>285</v>
      </c>
      <c r="C20" t="s">
        <v>73</v>
      </c>
      <c r="D20" s="7" t="s">
        <v>15</v>
      </c>
      <c r="E20" s="36" t="s">
        <v>313</v>
      </c>
      <c r="F20" t="s">
        <v>308</v>
      </c>
      <c r="G20" t="s">
        <v>309</v>
      </c>
    </row>
    <row r="21" spans="1:7" x14ac:dyDescent="0.2">
      <c r="A21" t="str">
        <f t="shared" si="0"/>
        <v>Env18</v>
      </c>
      <c r="B21" s="16" t="s">
        <v>285</v>
      </c>
      <c r="C21" t="s">
        <v>74</v>
      </c>
      <c r="D21" s="7" t="s">
        <v>15</v>
      </c>
      <c r="E21" s="10" t="s">
        <v>185</v>
      </c>
    </row>
    <row r="22" spans="1:7" x14ac:dyDescent="0.2">
      <c r="A22" t="str">
        <f t="shared" si="0"/>
        <v>Env19</v>
      </c>
      <c r="B22" s="16" t="s">
        <v>285</v>
      </c>
      <c r="C22" t="s">
        <v>75</v>
      </c>
      <c r="D22" s="7" t="s">
        <v>15</v>
      </c>
      <c r="E22" s="10" t="s">
        <v>185</v>
      </c>
    </row>
    <row r="23" spans="1:7" x14ac:dyDescent="0.2">
      <c r="A23" t="str">
        <f t="shared" si="0"/>
        <v>Env20</v>
      </c>
      <c r="B23" s="16" t="s">
        <v>285</v>
      </c>
      <c r="C23" t="s">
        <v>76</v>
      </c>
      <c r="D23" s="7" t="s">
        <v>15</v>
      </c>
      <c r="E23" s="13" t="s">
        <v>194</v>
      </c>
      <c r="F23" t="s">
        <v>264</v>
      </c>
      <c r="G23" t="s">
        <v>198</v>
      </c>
    </row>
    <row r="24" spans="1:7" x14ac:dyDescent="0.2">
      <c r="A24" t="str">
        <f t="shared" si="0"/>
        <v>Env21</v>
      </c>
      <c r="B24" s="16" t="s">
        <v>286</v>
      </c>
      <c r="C24" t="s">
        <v>77</v>
      </c>
      <c r="D24" s="7" t="s">
        <v>15</v>
      </c>
      <c r="E24" s="10" t="s">
        <v>185</v>
      </c>
    </row>
    <row r="25" spans="1:7" x14ac:dyDescent="0.2">
      <c r="A25" t="str">
        <f t="shared" si="0"/>
        <v>Env22</v>
      </c>
      <c r="B25" s="16" t="s">
        <v>286</v>
      </c>
      <c r="C25" t="s">
        <v>78</v>
      </c>
      <c r="D25" s="9" t="s">
        <v>69</v>
      </c>
      <c r="E25" s="10" t="s">
        <v>185</v>
      </c>
    </row>
    <row r="26" spans="1:7" x14ac:dyDescent="0.2">
      <c r="A26" t="str">
        <f t="shared" si="0"/>
        <v>Env23</v>
      </c>
      <c r="B26" s="16" t="s">
        <v>286</v>
      </c>
      <c r="C26" t="s">
        <v>79</v>
      </c>
      <c r="D26" s="7" t="s">
        <v>15</v>
      </c>
      <c r="E26" s="10" t="s">
        <v>185</v>
      </c>
    </row>
    <row r="27" spans="1:7" x14ac:dyDescent="0.2">
      <c r="A27" t="str">
        <f t="shared" si="0"/>
        <v>Env24</v>
      </c>
      <c r="B27" s="16" t="s">
        <v>286</v>
      </c>
      <c r="C27" t="s">
        <v>80</v>
      </c>
      <c r="D27" s="7" t="s">
        <v>15</v>
      </c>
      <c r="E27" s="10" t="s">
        <v>185</v>
      </c>
    </row>
    <row r="28" spans="1:7" x14ac:dyDescent="0.2">
      <c r="A28" t="str">
        <f t="shared" si="0"/>
        <v>Env25</v>
      </c>
      <c r="B28" s="16" t="s">
        <v>286</v>
      </c>
      <c r="C28" t="s">
        <v>81</v>
      </c>
      <c r="D28" s="7" t="s">
        <v>15</v>
      </c>
      <c r="E28" s="10" t="s">
        <v>185</v>
      </c>
    </row>
    <row r="29" spans="1:7" x14ac:dyDescent="0.2">
      <c r="A29" t="str">
        <f t="shared" si="0"/>
        <v>Env26</v>
      </c>
      <c r="B29" s="16" t="s">
        <v>286</v>
      </c>
      <c r="C29" t="s">
        <v>82</v>
      </c>
      <c r="D29" s="9" t="s">
        <v>69</v>
      </c>
      <c r="E29" s="10" t="s">
        <v>185</v>
      </c>
    </row>
    <row r="30" spans="1:7" x14ac:dyDescent="0.2">
      <c r="A30" t="str">
        <f t="shared" si="0"/>
        <v>Env27</v>
      </c>
      <c r="B30" s="16" t="s">
        <v>286</v>
      </c>
      <c r="C30" t="s">
        <v>83</v>
      </c>
      <c r="D30" s="7" t="s">
        <v>15</v>
      </c>
      <c r="E30" s="10" t="s">
        <v>185</v>
      </c>
    </row>
    <row r="31" spans="1:7" x14ac:dyDescent="0.2">
      <c r="A31" t="str">
        <f t="shared" si="0"/>
        <v>Env28</v>
      </c>
      <c r="B31" s="16" t="s">
        <v>287</v>
      </c>
      <c r="C31" t="s">
        <v>84</v>
      </c>
      <c r="D31" s="7" t="s">
        <v>15</v>
      </c>
      <c r="E31" s="10" t="s">
        <v>185</v>
      </c>
    </row>
    <row r="32" spans="1:7" x14ac:dyDescent="0.2">
      <c r="A32" t="str">
        <f t="shared" si="0"/>
        <v>Env29</v>
      </c>
      <c r="B32" s="16" t="s">
        <v>287</v>
      </c>
      <c r="C32" t="s">
        <v>85</v>
      </c>
      <c r="D32" s="7" t="s">
        <v>15</v>
      </c>
      <c r="E32" s="10" t="s">
        <v>185</v>
      </c>
    </row>
    <row r="33" spans="1:7" x14ac:dyDescent="0.2">
      <c r="A33" t="str">
        <f t="shared" si="0"/>
        <v>Env30</v>
      </c>
      <c r="B33" s="16" t="s">
        <v>287</v>
      </c>
      <c r="C33" t="s">
        <v>86</v>
      </c>
      <c r="D33" s="7" t="s">
        <v>15</v>
      </c>
      <c r="E33" s="10" t="s">
        <v>185</v>
      </c>
    </row>
    <row r="34" spans="1:7" x14ac:dyDescent="0.2">
      <c r="A34" t="str">
        <f t="shared" si="0"/>
        <v>Env31</v>
      </c>
      <c r="B34" s="16" t="s">
        <v>287</v>
      </c>
      <c r="C34" t="s">
        <v>87</v>
      </c>
      <c r="D34" s="9" t="s">
        <v>90</v>
      </c>
      <c r="E34" s="10" t="s">
        <v>185</v>
      </c>
    </row>
    <row r="35" spans="1:7" x14ac:dyDescent="0.2">
      <c r="A35" t="str">
        <f t="shared" si="0"/>
        <v>Env32</v>
      </c>
      <c r="B35" s="16" t="s">
        <v>287</v>
      </c>
      <c r="C35" t="s">
        <v>88</v>
      </c>
      <c r="D35" s="9" t="s">
        <v>90</v>
      </c>
      <c r="E35" s="10" t="s">
        <v>185</v>
      </c>
    </row>
    <row r="36" spans="1:7" x14ac:dyDescent="0.2">
      <c r="A36" t="str">
        <f t="shared" si="0"/>
        <v>Env33</v>
      </c>
      <c r="B36" s="16" t="s">
        <v>287</v>
      </c>
      <c r="C36" t="s">
        <v>89</v>
      </c>
      <c r="D36" s="9" t="s">
        <v>91</v>
      </c>
      <c r="E36" s="10" t="s">
        <v>185</v>
      </c>
    </row>
    <row r="37" spans="1:7" x14ac:dyDescent="0.2">
      <c r="A37" t="str">
        <f t="shared" si="0"/>
        <v>Env34</v>
      </c>
      <c r="B37" s="16" t="s">
        <v>287</v>
      </c>
      <c r="C37" t="s">
        <v>92</v>
      </c>
      <c r="D37" s="7" t="s">
        <v>15</v>
      </c>
      <c r="E37" s="10" t="s">
        <v>185</v>
      </c>
      <c r="G37" s="32" t="s">
        <v>276</v>
      </c>
    </row>
    <row r="38" spans="1:7" x14ac:dyDescent="0.2">
      <c r="A38" t="str">
        <f t="shared" si="0"/>
        <v>Env35</v>
      </c>
      <c r="B38" s="16" t="s">
        <v>287</v>
      </c>
      <c r="C38" t="s">
        <v>93</v>
      </c>
      <c r="D38" s="7" t="s">
        <v>15</v>
      </c>
      <c r="E38" s="10" t="s">
        <v>185</v>
      </c>
      <c r="G38" s="32" t="s">
        <v>276</v>
      </c>
    </row>
    <row r="39" spans="1:7" x14ac:dyDescent="0.2">
      <c r="A39" t="str">
        <f t="shared" si="0"/>
        <v>Env36</v>
      </c>
      <c r="B39" s="34" t="s">
        <v>302</v>
      </c>
      <c r="C39" t="s">
        <v>94</v>
      </c>
      <c r="D39" s="7" t="s">
        <v>15</v>
      </c>
      <c r="E39" s="10" t="s">
        <v>185</v>
      </c>
      <c r="G39" s="32" t="s">
        <v>276</v>
      </c>
    </row>
    <row r="40" spans="1:7" x14ac:dyDescent="0.2">
      <c r="A40" t="str">
        <f t="shared" si="0"/>
        <v>Env37</v>
      </c>
      <c r="B40" s="34" t="s">
        <v>302</v>
      </c>
      <c r="C40" t="s">
        <v>95</v>
      </c>
      <c r="D40" s="7" t="s">
        <v>15</v>
      </c>
      <c r="E40" s="10" t="s">
        <v>185</v>
      </c>
      <c r="G40" s="32" t="s">
        <v>276</v>
      </c>
    </row>
    <row r="41" spans="1:7" x14ac:dyDescent="0.2">
      <c r="A41" t="str">
        <f t="shared" si="0"/>
        <v>Env38</v>
      </c>
      <c r="B41" s="16" t="s">
        <v>287</v>
      </c>
      <c r="C41" t="s">
        <v>96</v>
      </c>
      <c r="D41" s="7" t="s">
        <v>15</v>
      </c>
      <c r="E41" s="10" t="s">
        <v>185</v>
      </c>
      <c r="G41" s="32" t="s">
        <v>276</v>
      </c>
    </row>
    <row r="42" spans="1:7" x14ac:dyDescent="0.2">
      <c r="A42" t="str">
        <f t="shared" si="0"/>
        <v>Env39</v>
      </c>
      <c r="B42" s="34" t="s">
        <v>302</v>
      </c>
      <c r="C42" t="s">
        <v>97</v>
      </c>
      <c r="D42" s="9" t="s">
        <v>99</v>
      </c>
      <c r="E42" s="13" t="s">
        <v>194</v>
      </c>
      <c r="F42" t="s">
        <v>252</v>
      </c>
      <c r="G42" t="s">
        <v>253</v>
      </c>
    </row>
    <row r="43" spans="1:7" x14ac:dyDescent="0.2">
      <c r="A43" t="str">
        <f t="shared" si="0"/>
        <v>Env40</v>
      </c>
      <c r="B43" s="34" t="s">
        <v>302</v>
      </c>
      <c r="C43" t="s">
        <v>98</v>
      </c>
      <c r="D43" s="7" t="s">
        <v>15</v>
      </c>
      <c r="E43" s="10" t="s">
        <v>185</v>
      </c>
    </row>
    <row r="44" spans="1:7" ht="15" customHeight="1" x14ac:dyDescent="0.2">
      <c r="A44" s="29" t="str">
        <f t="shared" si="0"/>
        <v>Env41</v>
      </c>
      <c r="B44" s="34" t="s">
        <v>302</v>
      </c>
      <c r="C44" s="8" t="s">
        <v>100</v>
      </c>
      <c r="D44" s="6" t="s">
        <v>101</v>
      </c>
      <c r="E44" s="10" t="s">
        <v>185</v>
      </c>
    </row>
    <row r="45" spans="1:7" x14ac:dyDescent="0.2">
      <c r="A45" t="str">
        <f t="shared" si="0"/>
        <v>Env42</v>
      </c>
      <c r="B45" s="34" t="s">
        <v>302</v>
      </c>
      <c r="C45" t="s">
        <v>102</v>
      </c>
      <c r="D45" s="9" t="s">
        <v>103</v>
      </c>
      <c r="E45" s="10" t="s">
        <v>185</v>
      </c>
    </row>
    <row r="46" spans="1:7" x14ac:dyDescent="0.2">
      <c r="A46" t="str">
        <f t="shared" si="0"/>
        <v>Env43</v>
      </c>
      <c r="B46" s="34" t="s">
        <v>302</v>
      </c>
      <c r="C46" t="s">
        <v>104</v>
      </c>
      <c r="D46" s="7" t="s">
        <v>15</v>
      </c>
      <c r="E46" s="10" t="s">
        <v>185</v>
      </c>
    </row>
    <row r="47" spans="1:7" x14ac:dyDescent="0.2">
      <c r="A47" t="str">
        <f t="shared" si="0"/>
        <v>Env44</v>
      </c>
      <c r="B47" s="34" t="s">
        <v>302</v>
      </c>
      <c r="C47" t="s">
        <v>105</v>
      </c>
      <c r="D47" s="7" t="s">
        <v>15</v>
      </c>
      <c r="E47" s="10" t="s">
        <v>185</v>
      </c>
    </row>
    <row r="48" spans="1:7" x14ac:dyDescent="0.2">
      <c r="A48" t="str">
        <f t="shared" si="0"/>
        <v>Env45</v>
      </c>
      <c r="B48" s="34" t="s">
        <v>302</v>
      </c>
      <c r="C48" t="s">
        <v>106</v>
      </c>
      <c r="D48" s="7" t="s">
        <v>15</v>
      </c>
      <c r="E48" s="10" t="s">
        <v>185</v>
      </c>
    </row>
    <row r="49" spans="1:8" ht="16" customHeight="1" x14ac:dyDescent="0.2">
      <c r="A49" s="29" t="str">
        <f t="shared" si="0"/>
        <v>Env46</v>
      </c>
      <c r="B49" s="34" t="s">
        <v>302</v>
      </c>
      <c r="C49" s="8" t="s">
        <v>107</v>
      </c>
      <c r="D49" s="9" t="s">
        <v>99</v>
      </c>
      <c r="E49" s="10" t="s">
        <v>185</v>
      </c>
    </row>
    <row r="53" spans="1:8" x14ac:dyDescent="0.2">
      <c r="B53" t="s">
        <v>299</v>
      </c>
      <c r="C53">
        <f>COUNTA(_xlfn.UNIQUE(Tabelle2[Category]))</f>
        <v>5</v>
      </c>
    </row>
    <row r="54" spans="1:8" x14ac:dyDescent="0.2">
      <c r="B54" t="s">
        <v>300</v>
      </c>
      <c r="C54">
        <f>COUNTA(Tabelle2[Process-Level Metric])</f>
        <v>46</v>
      </c>
      <c r="E54" s="11" t="s">
        <v>191</v>
      </c>
      <c r="F54" t="s">
        <v>193</v>
      </c>
    </row>
    <row r="55" spans="1:8" x14ac:dyDescent="0.2">
      <c r="E55" s="12" t="s">
        <v>313</v>
      </c>
      <c r="F55">
        <v>1</v>
      </c>
      <c r="G55" s="43" t="e">
        <f>GETPIVOTDATA("ID",$E$54,"SAP Status","indirect")/GETPIVOTDATA("ID",$E$54)</f>
        <v>#REF!</v>
      </c>
      <c r="H55" s="44" t="e">
        <f>G55+G56</f>
        <v>#REF!</v>
      </c>
    </row>
    <row r="56" spans="1:8" x14ac:dyDescent="0.2">
      <c r="E56" s="12" t="s">
        <v>194</v>
      </c>
      <c r="F56">
        <v>5</v>
      </c>
      <c r="G56" s="43">
        <f>GETPIVOTDATA("ID",$E$54,"SAP Status","extendable")/GETPIVOTDATA("ID",$E$54)</f>
        <v>0.10869565217391304</v>
      </c>
    </row>
    <row r="57" spans="1:8" x14ac:dyDescent="0.2">
      <c r="E57" s="12" t="s">
        <v>185</v>
      </c>
      <c r="F57">
        <v>40</v>
      </c>
    </row>
    <row r="58" spans="1:8" x14ac:dyDescent="0.2">
      <c r="E58" s="12" t="s">
        <v>192</v>
      </c>
      <c r="F58">
        <v>46</v>
      </c>
    </row>
  </sheetData>
  <phoneticPr fontId="3" type="noConversion"/>
  <pageMargins left="0.7" right="0.7" top="0.78740157499999996" bottom="0.78740157499999996" header="0.3" footer="0.3"/>
  <pageSetup paperSize="9" orientation="portrait" horizontalDpi="0" verticalDpi="0"/>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0325-BC14-2D41-B01E-37C910CF48CE}">
  <sheetPr>
    <tabColor theme="5" tint="-0.249977111117893"/>
  </sheetPr>
  <dimension ref="A3:G74"/>
  <sheetViews>
    <sheetView topLeftCell="B61" zoomScale="116" workbookViewId="0">
      <selection activeCell="F12" sqref="F12"/>
    </sheetView>
  </sheetViews>
  <sheetFormatPr baseColWidth="10" defaultRowHeight="16" x14ac:dyDescent="0.2"/>
  <cols>
    <col min="2" max="2" width="49" customWidth="1"/>
    <col min="3" max="3" width="94.6640625" customWidth="1"/>
    <col min="4" max="4" width="21.33203125" bestFit="1" customWidth="1"/>
    <col min="5" max="5" width="12" bestFit="1" customWidth="1"/>
    <col min="6" max="6" width="62" customWidth="1"/>
    <col min="7" max="7" width="143.83203125" customWidth="1"/>
  </cols>
  <sheetData>
    <row r="3" spans="1:7" x14ac:dyDescent="0.2">
      <c r="A3" s="4" t="s">
        <v>0</v>
      </c>
      <c r="B3" s="5" t="s">
        <v>283</v>
      </c>
      <c r="C3" s="5" t="s">
        <v>1</v>
      </c>
      <c r="D3" s="5" t="s">
        <v>2</v>
      </c>
      <c r="E3" s="5" t="s">
        <v>3</v>
      </c>
      <c r="F3" s="5" t="s">
        <v>4</v>
      </c>
      <c r="G3" s="5" t="s">
        <v>5</v>
      </c>
    </row>
    <row r="4" spans="1:7" x14ac:dyDescent="0.2">
      <c r="A4" t="str">
        <f xml:space="preserve"> "Soc" &amp; ROW(A4) - 3</f>
        <v>Soc1</v>
      </c>
      <c r="B4" s="34" t="s">
        <v>297</v>
      </c>
      <c r="C4" t="s">
        <v>108</v>
      </c>
      <c r="D4" s="7" t="s">
        <v>15</v>
      </c>
      <c r="E4" s="13" t="s">
        <v>194</v>
      </c>
      <c r="G4" t="s">
        <v>270</v>
      </c>
    </row>
    <row r="5" spans="1:7" x14ac:dyDescent="0.2">
      <c r="A5" t="str">
        <f xml:space="preserve"> "Soc" &amp; ROW(A5) - 3</f>
        <v>Soc2</v>
      </c>
      <c r="B5" s="34" t="s">
        <v>297</v>
      </c>
      <c r="C5" t="s">
        <v>109</v>
      </c>
      <c r="D5" s="7" t="s">
        <v>15</v>
      </c>
      <c r="E5" s="13" t="s">
        <v>194</v>
      </c>
      <c r="F5" t="s">
        <v>206</v>
      </c>
      <c r="G5" t="s">
        <v>207</v>
      </c>
    </row>
    <row r="6" spans="1:7" x14ac:dyDescent="0.2">
      <c r="A6" t="str">
        <f t="shared" ref="A6:A58" si="0" xml:space="preserve"> "Soc" &amp; ROW(A6) - 3</f>
        <v>Soc3</v>
      </c>
      <c r="B6" s="34" t="s">
        <v>297</v>
      </c>
      <c r="C6" t="s">
        <v>110</v>
      </c>
      <c r="D6" s="7" t="s">
        <v>15</v>
      </c>
      <c r="E6" s="13" t="s">
        <v>194</v>
      </c>
      <c r="F6" t="s">
        <v>209</v>
      </c>
      <c r="G6" t="s">
        <v>207</v>
      </c>
    </row>
    <row r="7" spans="1:7" x14ac:dyDescent="0.2">
      <c r="A7" t="str">
        <f t="shared" si="0"/>
        <v>Soc4</v>
      </c>
      <c r="B7" s="34" t="s">
        <v>297</v>
      </c>
      <c r="C7" t="s">
        <v>111</v>
      </c>
      <c r="D7" s="7" t="s">
        <v>15</v>
      </c>
      <c r="E7" s="10" t="s">
        <v>185</v>
      </c>
    </row>
    <row r="8" spans="1:7" x14ac:dyDescent="0.2">
      <c r="A8" t="str">
        <f t="shared" si="0"/>
        <v>Soc5</v>
      </c>
      <c r="B8" s="34" t="s">
        <v>297</v>
      </c>
      <c r="C8" t="s">
        <v>112</v>
      </c>
      <c r="D8" s="6" t="s">
        <v>115</v>
      </c>
      <c r="E8" s="13" t="s">
        <v>194</v>
      </c>
      <c r="F8" t="s">
        <v>205</v>
      </c>
      <c r="G8" t="s">
        <v>271</v>
      </c>
    </row>
    <row r="9" spans="1:7" x14ac:dyDescent="0.2">
      <c r="A9" t="str">
        <f t="shared" si="0"/>
        <v>Soc6</v>
      </c>
      <c r="B9" s="34" t="s">
        <v>297</v>
      </c>
      <c r="C9" t="s">
        <v>113</v>
      </c>
      <c r="D9" s="6" t="s">
        <v>115</v>
      </c>
      <c r="E9" s="13" t="s">
        <v>194</v>
      </c>
      <c r="F9" t="s">
        <v>205</v>
      </c>
      <c r="G9" t="s">
        <v>271</v>
      </c>
    </row>
    <row r="10" spans="1:7" x14ac:dyDescent="0.2">
      <c r="A10" t="str">
        <f t="shared" si="0"/>
        <v>Soc7</v>
      </c>
      <c r="B10" s="34" t="s">
        <v>288</v>
      </c>
      <c r="C10" t="s">
        <v>114</v>
      </c>
      <c r="D10" s="9" t="s">
        <v>116</v>
      </c>
      <c r="E10" s="13" t="s">
        <v>194</v>
      </c>
      <c r="F10" t="s">
        <v>239</v>
      </c>
      <c r="G10" t="s">
        <v>240</v>
      </c>
    </row>
    <row r="11" spans="1:7" x14ac:dyDescent="0.2">
      <c r="A11" t="str">
        <f t="shared" si="0"/>
        <v>Soc8</v>
      </c>
      <c r="B11" s="34" t="s">
        <v>288</v>
      </c>
      <c r="C11" t="s">
        <v>117</v>
      </c>
      <c r="D11" s="6" t="s">
        <v>118</v>
      </c>
      <c r="E11" s="10" t="s">
        <v>185</v>
      </c>
      <c r="G11" s="27" t="s">
        <v>242</v>
      </c>
    </row>
    <row r="12" spans="1:7" x14ac:dyDescent="0.2">
      <c r="A12" t="str">
        <f t="shared" si="0"/>
        <v>Soc9</v>
      </c>
      <c r="B12" s="34" t="s">
        <v>288</v>
      </c>
      <c r="C12" t="s">
        <v>119</v>
      </c>
      <c r="D12" s="7" t="s">
        <v>15</v>
      </c>
      <c r="E12" s="13" t="s">
        <v>194</v>
      </c>
      <c r="F12" t="s">
        <v>239</v>
      </c>
      <c r="G12" s="31" t="s">
        <v>272</v>
      </c>
    </row>
    <row r="13" spans="1:7" x14ac:dyDescent="0.2">
      <c r="A13" t="str">
        <f t="shared" si="0"/>
        <v>Soc10</v>
      </c>
      <c r="B13" s="34" t="s">
        <v>288</v>
      </c>
      <c r="C13" t="s">
        <v>120</v>
      </c>
      <c r="D13" s="6" t="s">
        <v>122</v>
      </c>
      <c r="E13" s="13" t="s">
        <v>194</v>
      </c>
      <c r="F13" t="s">
        <v>239</v>
      </c>
      <c r="G13" t="s">
        <v>273</v>
      </c>
    </row>
    <row r="14" spans="1:7" x14ac:dyDescent="0.2">
      <c r="A14" t="str">
        <f t="shared" si="0"/>
        <v>Soc11</v>
      </c>
      <c r="B14" s="34" t="s">
        <v>288</v>
      </c>
      <c r="C14" t="s">
        <v>121</v>
      </c>
      <c r="D14" s="6" t="s">
        <v>123</v>
      </c>
      <c r="E14" s="10" t="s">
        <v>185</v>
      </c>
      <c r="G14" s="27" t="s">
        <v>242</v>
      </c>
    </row>
    <row r="15" spans="1:7" ht="15" customHeight="1" x14ac:dyDescent="0.2">
      <c r="A15" t="str">
        <f t="shared" si="0"/>
        <v>Soc12</v>
      </c>
      <c r="B15" s="34" t="s">
        <v>288</v>
      </c>
      <c r="C15" s="8" t="s">
        <v>307</v>
      </c>
      <c r="D15" s="6" t="s">
        <v>122</v>
      </c>
      <c r="E15" s="10" t="s">
        <v>185</v>
      </c>
      <c r="G15" s="27" t="s">
        <v>242</v>
      </c>
    </row>
    <row r="16" spans="1:7" x14ac:dyDescent="0.2">
      <c r="A16" t="str">
        <f t="shared" si="0"/>
        <v>Soc13</v>
      </c>
      <c r="B16" s="34" t="s">
        <v>288</v>
      </c>
      <c r="C16" t="s">
        <v>124</v>
      </c>
      <c r="D16" s="9" t="s">
        <v>129</v>
      </c>
      <c r="E16" s="10" t="s">
        <v>185</v>
      </c>
      <c r="G16" s="27" t="s">
        <v>242</v>
      </c>
    </row>
    <row r="17" spans="1:7" x14ac:dyDescent="0.2">
      <c r="A17" t="str">
        <f t="shared" si="0"/>
        <v>Soc14</v>
      </c>
      <c r="B17" s="34" t="s">
        <v>288</v>
      </c>
      <c r="C17" t="s">
        <v>125</v>
      </c>
      <c r="D17" s="7" t="s">
        <v>15</v>
      </c>
      <c r="E17" s="3" t="s">
        <v>312</v>
      </c>
      <c r="F17" t="s">
        <v>233</v>
      </c>
      <c r="G17" t="s">
        <v>195</v>
      </c>
    </row>
    <row r="18" spans="1:7" x14ac:dyDescent="0.2">
      <c r="A18" t="str">
        <f t="shared" si="0"/>
        <v>Soc15</v>
      </c>
      <c r="B18" s="34" t="s">
        <v>288</v>
      </c>
      <c r="C18" t="s">
        <v>126</v>
      </c>
      <c r="D18" s="7" t="s">
        <v>15</v>
      </c>
      <c r="E18" s="13" t="s">
        <v>194</v>
      </c>
      <c r="F18" t="s">
        <v>239</v>
      </c>
      <c r="G18" t="s">
        <v>241</v>
      </c>
    </row>
    <row r="19" spans="1:7" x14ac:dyDescent="0.2">
      <c r="A19" t="str">
        <f t="shared" si="0"/>
        <v>Soc16</v>
      </c>
      <c r="B19" s="34" t="s">
        <v>288</v>
      </c>
      <c r="C19" t="s">
        <v>127</v>
      </c>
      <c r="D19" s="6" t="s">
        <v>122</v>
      </c>
      <c r="E19" s="3" t="s">
        <v>312</v>
      </c>
      <c r="F19" t="s">
        <v>208</v>
      </c>
      <c r="G19" t="s">
        <v>195</v>
      </c>
    </row>
    <row r="20" spans="1:7" x14ac:dyDescent="0.2">
      <c r="A20" t="str">
        <f t="shared" si="0"/>
        <v>Soc17</v>
      </c>
      <c r="B20" s="34" t="s">
        <v>288</v>
      </c>
      <c r="C20" t="s">
        <v>128</v>
      </c>
      <c r="D20" s="9" t="s">
        <v>116</v>
      </c>
      <c r="E20" s="10" t="s">
        <v>185</v>
      </c>
    </row>
    <row r="21" spans="1:7" x14ac:dyDescent="0.2">
      <c r="A21" t="str">
        <f t="shared" si="0"/>
        <v>Soc18</v>
      </c>
      <c r="B21" s="34" t="s">
        <v>288</v>
      </c>
      <c r="C21" t="s">
        <v>130</v>
      </c>
      <c r="D21" s="9" t="s">
        <v>116</v>
      </c>
      <c r="E21" s="10" t="s">
        <v>185</v>
      </c>
    </row>
    <row r="22" spans="1:7" x14ac:dyDescent="0.2">
      <c r="A22" t="str">
        <f t="shared" si="0"/>
        <v>Soc19</v>
      </c>
      <c r="B22" s="34" t="s">
        <v>288</v>
      </c>
      <c r="C22" t="s">
        <v>131</v>
      </c>
      <c r="D22" s="9" t="s">
        <v>116</v>
      </c>
      <c r="E22" s="13" t="s">
        <v>194</v>
      </c>
      <c r="F22" t="s">
        <v>239</v>
      </c>
      <c r="G22" t="s">
        <v>278</v>
      </c>
    </row>
    <row r="23" spans="1:7" x14ac:dyDescent="0.2">
      <c r="A23" t="str">
        <f t="shared" si="0"/>
        <v>Soc20</v>
      </c>
      <c r="B23" s="34" t="s">
        <v>288</v>
      </c>
      <c r="C23" t="s">
        <v>132</v>
      </c>
      <c r="D23" s="6" t="s">
        <v>135</v>
      </c>
      <c r="E23" s="13" t="s">
        <v>194</v>
      </c>
      <c r="F23" t="s">
        <v>239</v>
      </c>
      <c r="G23" t="s">
        <v>279</v>
      </c>
    </row>
    <row r="24" spans="1:7" x14ac:dyDescent="0.2">
      <c r="A24" t="str">
        <f t="shared" si="0"/>
        <v>Soc21</v>
      </c>
      <c r="B24" s="34" t="s">
        <v>288</v>
      </c>
      <c r="C24" t="s">
        <v>133</v>
      </c>
      <c r="D24" s="6" t="s">
        <v>135</v>
      </c>
      <c r="E24" s="13" t="s">
        <v>194</v>
      </c>
      <c r="F24" t="s">
        <v>239</v>
      </c>
      <c r="G24" t="s">
        <v>279</v>
      </c>
    </row>
    <row r="25" spans="1:7" x14ac:dyDescent="0.2">
      <c r="A25" t="str">
        <f t="shared" si="0"/>
        <v>Soc22</v>
      </c>
      <c r="B25" s="34" t="s">
        <v>288</v>
      </c>
      <c r="C25" t="s">
        <v>134</v>
      </c>
      <c r="D25" s="6" t="s">
        <v>136</v>
      </c>
      <c r="E25" s="10" t="s">
        <v>185</v>
      </c>
      <c r="G25" t="s">
        <v>280</v>
      </c>
    </row>
    <row r="26" spans="1:7" x14ac:dyDescent="0.2">
      <c r="A26" t="str">
        <f t="shared" si="0"/>
        <v>Soc23</v>
      </c>
      <c r="B26" s="34" t="s">
        <v>288</v>
      </c>
      <c r="C26" t="s">
        <v>137</v>
      </c>
      <c r="D26" s="7" t="s">
        <v>15</v>
      </c>
      <c r="E26" s="10" t="s">
        <v>185</v>
      </c>
    </row>
    <row r="27" spans="1:7" x14ac:dyDescent="0.2">
      <c r="A27" t="str">
        <f t="shared" si="0"/>
        <v>Soc24</v>
      </c>
      <c r="B27" s="34" t="s">
        <v>288</v>
      </c>
      <c r="C27" t="s">
        <v>138</v>
      </c>
      <c r="D27" s="7" t="s">
        <v>15</v>
      </c>
      <c r="E27" s="10" t="s">
        <v>185</v>
      </c>
      <c r="G27" s="27"/>
    </row>
    <row r="28" spans="1:7" x14ac:dyDescent="0.2">
      <c r="A28" t="str">
        <f t="shared" si="0"/>
        <v>Soc25</v>
      </c>
      <c r="B28" s="34" t="s">
        <v>288</v>
      </c>
      <c r="C28" t="s">
        <v>139</v>
      </c>
      <c r="D28" s="7" t="s">
        <v>15</v>
      </c>
      <c r="E28" s="10" t="s">
        <v>185</v>
      </c>
    </row>
    <row r="29" spans="1:7" x14ac:dyDescent="0.2">
      <c r="A29" t="str">
        <f t="shared" si="0"/>
        <v>Soc26</v>
      </c>
      <c r="B29" s="34" t="s">
        <v>288</v>
      </c>
      <c r="C29" t="s">
        <v>140</v>
      </c>
      <c r="D29" s="7" t="s">
        <v>15</v>
      </c>
      <c r="E29" s="10" t="s">
        <v>185</v>
      </c>
    </row>
    <row r="30" spans="1:7" x14ac:dyDescent="0.2">
      <c r="A30" t="str">
        <f t="shared" si="0"/>
        <v>Soc27</v>
      </c>
      <c r="B30" s="34" t="s">
        <v>288</v>
      </c>
      <c r="C30" t="s">
        <v>141</v>
      </c>
      <c r="D30" s="7" t="s">
        <v>15</v>
      </c>
      <c r="E30" s="10" t="s">
        <v>185</v>
      </c>
    </row>
    <row r="31" spans="1:7" x14ac:dyDescent="0.2">
      <c r="A31" t="str">
        <f t="shared" si="0"/>
        <v>Soc28</v>
      </c>
      <c r="B31" s="34" t="s">
        <v>288</v>
      </c>
      <c r="C31" t="s">
        <v>142</v>
      </c>
      <c r="D31" s="7" t="s">
        <v>15</v>
      </c>
      <c r="E31" s="10" t="s">
        <v>185</v>
      </c>
    </row>
    <row r="32" spans="1:7" x14ac:dyDescent="0.2">
      <c r="A32" t="str">
        <f t="shared" si="0"/>
        <v>Soc29</v>
      </c>
      <c r="B32" s="34" t="s">
        <v>298</v>
      </c>
      <c r="C32" t="s">
        <v>143</v>
      </c>
      <c r="D32" s="7" t="s">
        <v>15</v>
      </c>
      <c r="E32" s="10" t="s">
        <v>185</v>
      </c>
      <c r="G32" s="31" t="s">
        <v>269</v>
      </c>
    </row>
    <row r="33" spans="1:7" x14ac:dyDescent="0.2">
      <c r="A33" t="str">
        <f t="shared" si="0"/>
        <v>Soc30</v>
      </c>
      <c r="B33" s="34" t="s">
        <v>298</v>
      </c>
      <c r="C33" t="s">
        <v>144</v>
      </c>
      <c r="D33" s="9" t="s">
        <v>145</v>
      </c>
      <c r="E33" s="10" t="s">
        <v>185</v>
      </c>
      <c r="G33" s="32" t="s">
        <v>274</v>
      </c>
    </row>
    <row r="34" spans="1:7" x14ac:dyDescent="0.2">
      <c r="A34" t="str">
        <f t="shared" si="0"/>
        <v>Soc31</v>
      </c>
      <c r="B34" s="34" t="s">
        <v>298</v>
      </c>
      <c r="C34" t="s">
        <v>146</v>
      </c>
      <c r="D34" s="7" t="s">
        <v>15</v>
      </c>
      <c r="E34" s="13" t="s">
        <v>194</v>
      </c>
      <c r="F34" t="s">
        <v>226</v>
      </c>
      <c r="G34" t="s">
        <v>277</v>
      </c>
    </row>
    <row r="35" spans="1:7" x14ac:dyDescent="0.2">
      <c r="A35" t="str">
        <f t="shared" si="0"/>
        <v>Soc32</v>
      </c>
      <c r="B35" s="34" t="s">
        <v>298</v>
      </c>
      <c r="C35" t="s">
        <v>147</v>
      </c>
      <c r="D35" s="7" t="s">
        <v>15</v>
      </c>
      <c r="E35" s="10" t="s">
        <v>185</v>
      </c>
    </row>
    <row r="36" spans="1:7" x14ac:dyDescent="0.2">
      <c r="A36" t="str">
        <f t="shared" si="0"/>
        <v>Soc33</v>
      </c>
      <c r="B36" s="16" t="s">
        <v>289</v>
      </c>
      <c r="C36" t="s">
        <v>148</v>
      </c>
      <c r="D36" s="6" t="s">
        <v>152</v>
      </c>
      <c r="E36" s="3" t="s">
        <v>312</v>
      </c>
      <c r="F36" t="s">
        <v>214</v>
      </c>
      <c r="G36" t="s">
        <v>216</v>
      </c>
    </row>
    <row r="37" spans="1:7" x14ac:dyDescent="0.2">
      <c r="A37" t="str">
        <f t="shared" si="0"/>
        <v>Soc34</v>
      </c>
      <c r="B37" s="16" t="s">
        <v>289</v>
      </c>
      <c r="C37" t="s">
        <v>149</v>
      </c>
      <c r="D37" s="7" t="s">
        <v>15</v>
      </c>
      <c r="E37" s="17" t="s">
        <v>313</v>
      </c>
      <c r="F37" t="s">
        <v>245</v>
      </c>
      <c r="G37" t="s">
        <v>246</v>
      </c>
    </row>
    <row r="38" spans="1:7" x14ac:dyDescent="0.2">
      <c r="A38" t="str">
        <f t="shared" si="0"/>
        <v>Soc35</v>
      </c>
      <c r="B38" s="16" t="s">
        <v>289</v>
      </c>
      <c r="C38" t="s">
        <v>150</v>
      </c>
      <c r="D38" s="7" t="s">
        <v>15</v>
      </c>
      <c r="E38" s="17" t="s">
        <v>313</v>
      </c>
      <c r="F38" t="s">
        <v>214</v>
      </c>
      <c r="G38" t="s">
        <v>215</v>
      </c>
    </row>
    <row r="39" spans="1:7" x14ac:dyDescent="0.2">
      <c r="A39" t="str">
        <f t="shared" si="0"/>
        <v>Soc36</v>
      </c>
      <c r="B39" s="16" t="s">
        <v>289</v>
      </c>
      <c r="C39" t="s">
        <v>151</v>
      </c>
      <c r="D39" s="7" t="s">
        <v>15</v>
      </c>
      <c r="E39" s="17" t="s">
        <v>313</v>
      </c>
      <c r="F39" t="s">
        <v>209</v>
      </c>
      <c r="G39" t="s">
        <v>210</v>
      </c>
    </row>
    <row r="40" spans="1:7" x14ac:dyDescent="0.2">
      <c r="A40" t="str">
        <f t="shared" si="0"/>
        <v>Soc37</v>
      </c>
      <c r="B40" s="16" t="s">
        <v>289</v>
      </c>
      <c r="C40" t="s">
        <v>153</v>
      </c>
      <c r="D40" s="9" t="s">
        <v>156</v>
      </c>
      <c r="E40" s="17" t="s">
        <v>313</v>
      </c>
      <c r="F40" t="s">
        <v>209</v>
      </c>
      <c r="G40" t="s">
        <v>211</v>
      </c>
    </row>
    <row r="41" spans="1:7" x14ac:dyDescent="0.2">
      <c r="A41" t="str">
        <f t="shared" si="0"/>
        <v>Soc38</v>
      </c>
      <c r="B41" s="34" t="s">
        <v>298</v>
      </c>
      <c r="C41" t="s">
        <v>154</v>
      </c>
      <c r="D41" s="9" t="s">
        <v>129</v>
      </c>
      <c r="E41" s="17" t="s">
        <v>313</v>
      </c>
      <c r="F41" t="s">
        <v>217</v>
      </c>
      <c r="G41" t="s">
        <v>218</v>
      </c>
    </row>
    <row r="42" spans="1:7" x14ac:dyDescent="0.2">
      <c r="A42" t="str">
        <f t="shared" si="0"/>
        <v>Soc39</v>
      </c>
      <c r="B42" s="34" t="s">
        <v>298</v>
      </c>
      <c r="C42" t="s">
        <v>155</v>
      </c>
      <c r="D42" s="9" t="s">
        <v>129</v>
      </c>
      <c r="E42" s="17" t="s">
        <v>313</v>
      </c>
      <c r="F42" t="s">
        <v>260</v>
      </c>
    </row>
    <row r="43" spans="1:7" ht="14" customHeight="1" x14ac:dyDescent="0.2">
      <c r="A43" t="str">
        <f t="shared" si="0"/>
        <v>Soc40</v>
      </c>
      <c r="B43" s="34" t="s">
        <v>298</v>
      </c>
      <c r="C43" s="8" t="s">
        <v>304</v>
      </c>
      <c r="D43" s="6" t="s">
        <v>157</v>
      </c>
      <c r="E43" s="17" t="s">
        <v>313</v>
      </c>
      <c r="F43" t="s">
        <v>234</v>
      </c>
      <c r="G43" t="s">
        <v>305</v>
      </c>
    </row>
    <row r="44" spans="1:7" x14ac:dyDescent="0.2">
      <c r="A44" t="str">
        <f t="shared" si="0"/>
        <v>Soc41</v>
      </c>
      <c r="B44" s="16" t="s">
        <v>289</v>
      </c>
      <c r="C44" t="s">
        <v>158</v>
      </c>
      <c r="D44" s="9" t="s">
        <v>156</v>
      </c>
      <c r="E44" s="17" t="s">
        <v>313</v>
      </c>
      <c r="F44" t="s">
        <v>209</v>
      </c>
      <c r="G44" t="s">
        <v>227</v>
      </c>
    </row>
    <row r="45" spans="1:7" x14ac:dyDescent="0.2">
      <c r="A45" t="str">
        <f t="shared" si="0"/>
        <v>Soc42</v>
      </c>
      <c r="B45" s="34" t="s">
        <v>298</v>
      </c>
      <c r="C45" t="s">
        <v>159</v>
      </c>
      <c r="D45" s="9" t="s">
        <v>163</v>
      </c>
      <c r="E45" s="17" t="s">
        <v>313</v>
      </c>
      <c r="F45" t="s">
        <v>248</v>
      </c>
      <c r="G45" t="s">
        <v>247</v>
      </c>
    </row>
    <row r="46" spans="1:7" x14ac:dyDescent="0.2">
      <c r="A46" t="str">
        <f t="shared" si="0"/>
        <v>Soc43</v>
      </c>
      <c r="B46" s="16" t="s">
        <v>289</v>
      </c>
      <c r="C46" t="s">
        <v>160</v>
      </c>
      <c r="D46" s="9" t="s">
        <v>164</v>
      </c>
      <c r="E46" s="10" t="s">
        <v>185</v>
      </c>
    </row>
    <row r="47" spans="1:7" x14ac:dyDescent="0.2">
      <c r="A47" t="str">
        <f t="shared" si="0"/>
        <v>Soc44</v>
      </c>
      <c r="B47" s="16" t="s">
        <v>289</v>
      </c>
      <c r="C47" t="s">
        <v>161</v>
      </c>
      <c r="D47" s="9" t="s">
        <v>164</v>
      </c>
      <c r="E47" s="10" t="s">
        <v>185</v>
      </c>
    </row>
    <row r="48" spans="1:7" x14ac:dyDescent="0.2">
      <c r="A48" t="str">
        <f t="shared" si="0"/>
        <v>Soc45</v>
      </c>
      <c r="B48" s="16" t="s">
        <v>289</v>
      </c>
      <c r="C48" t="s">
        <v>162</v>
      </c>
      <c r="D48" s="9" t="s">
        <v>164</v>
      </c>
      <c r="E48" s="10" t="s">
        <v>185</v>
      </c>
    </row>
    <row r="49" spans="1:7" x14ac:dyDescent="0.2">
      <c r="A49" t="str">
        <f t="shared" si="0"/>
        <v>Soc46</v>
      </c>
      <c r="B49" s="16" t="s">
        <v>289</v>
      </c>
      <c r="C49" t="s">
        <v>165</v>
      </c>
      <c r="D49" s="9" t="s">
        <v>164</v>
      </c>
      <c r="E49" s="10" t="s">
        <v>185</v>
      </c>
    </row>
    <row r="50" spans="1:7" x14ac:dyDescent="0.2">
      <c r="A50" t="str">
        <f t="shared" si="0"/>
        <v>Soc47</v>
      </c>
      <c r="B50" s="16" t="s">
        <v>289</v>
      </c>
      <c r="C50" t="s">
        <v>166</v>
      </c>
      <c r="D50" s="6" t="s">
        <v>167</v>
      </c>
      <c r="E50" s="10" t="s">
        <v>185</v>
      </c>
      <c r="G50" s="32" t="s">
        <v>266</v>
      </c>
    </row>
    <row r="51" spans="1:7" x14ac:dyDescent="0.2">
      <c r="A51" t="str">
        <f t="shared" si="0"/>
        <v>Soc48</v>
      </c>
      <c r="B51" s="16" t="s">
        <v>289</v>
      </c>
      <c r="C51" t="s">
        <v>168</v>
      </c>
      <c r="D51" s="9" t="s">
        <v>164</v>
      </c>
      <c r="E51" s="13" t="s">
        <v>194</v>
      </c>
      <c r="F51" t="s">
        <v>249</v>
      </c>
      <c r="G51" t="s">
        <v>250</v>
      </c>
    </row>
    <row r="52" spans="1:7" x14ac:dyDescent="0.2">
      <c r="A52" t="str">
        <f t="shared" si="0"/>
        <v>Soc49</v>
      </c>
      <c r="B52" s="16" t="s">
        <v>289</v>
      </c>
      <c r="C52" t="s">
        <v>169</v>
      </c>
      <c r="D52" s="7" t="s">
        <v>15</v>
      </c>
      <c r="E52" s="10" t="s">
        <v>185</v>
      </c>
    </row>
    <row r="53" spans="1:7" x14ac:dyDescent="0.2">
      <c r="A53" t="str">
        <f t="shared" si="0"/>
        <v>Soc50</v>
      </c>
      <c r="B53" s="16" t="s">
        <v>289</v>
      </c>
      <c r="C53" t="s">
        <v>170</v>
      </c>
      <c r="D53" s="9" t="s">
        <v>171</v>
      </c>
      <c r="E53" s="3" t="s">
        <v>312</v>
      </c>
      <c r="F53" t="s">
        <v>282</v>
      </c>
    </row>
    <row r="54" spans="1:7" x14ac:dyDescent="0.2">
      <c r="A54" t="str">
        <f t="shared" si="0"/>
        <v>Soc51</v>
      </c>
      <c r="B54" s="16" t="s">
        <v>289</v>
      </c>
      <c r="C54" t="s">
        <v>172</v>
      </c>
      <c r="D54" s="7" t="s">
        <v>15</v>
      </c>
      <c r="E54" s="10" t="s">
        <v>185</v>
      </c>
    </row>
    <row r="55" spans="1:7" x14ac:dyDescent="0.2">
      <c r="A55" t="str">
        <f t="shared" si="0"/>
        <v>Soc52</v>
      </c>
      <c r="B55" s="16" t="s">
        <v>289</v>
      </c>
      <c r="C55" t="s">
        <v>173</v>
      </c>
      <c r="D55" s="7" t="s">
        <v>15</v>
      </c>
      <c r="E55" s="17" t="s">
        <v>313</v>
      </c>
      <c r="F55" t="s">
        <v>209</v>
      </c>
      <c r="G55" t="s">
        <v>219</v>
      </c>
    </row>
    <row r="56" spans="1:7" x14ac:dyDescent="0.2">
      <c r="A56" t="str">
        <f t="shared" si="0"/>
        <v>Soc53</v>
      </c>
      <c r="B56" s="16" t="s">
        <v>290</v>
      </c>
      <c r="C56" t="s">
        <v>174</v>
      </c>
      <c r="D56" s="6" t="s">
        <v>176</v>
      </c>
      <c r="E56" s="10" t="s">
        <v>185</v>
      </c>
    </row>
    <row r="57" spans="1:7" x14ac:dyDescent="0.2">
      <c r="A57" t="str">
        <f t="shared" si="0"/>
        <v>Soc54</v>
      </c>
      <c r="B57" s="16" t="s">
        <v>290</v>
      </c>
      <c r="C57" t="s">
        <v>175</v>
      </c>
      <c r="D57" s="6" t="s">
        <v>177</v>
      </c>
      <c r="E57" s="10" t="s">
        <v>185</v>
      </c>
    </row>
    <row r="58" spans="1:7" x14ac:dyDescent="0.2">
      <c r="A58" t="str">
        <f t="shared" si="0"/>
        <v>Soc55</v>
      </c>
      <c r="B58" s="16" t="s">
        <v>290</v>
      </c>
      <c r="C58" t="s">
        <v>178</v>
      </c>
      <c r="D58" s="7" t="s">
        <v>15</v>
      </c>
      <c r="E58" s="10" t="s">
        <v>185</v>
      </c>
    </row>
    <row r="59" spans="1:7" ht="14" customHeight="1" x14ac:dyDescent="0.2">
      <c r="A59" t="str">
        <f t="shared" ref="A59:A64" si="1" xml:space="preserve"> "Soc" &amp; ROW(A59) - 3</f>
        <v>Soc56</v>
      </c>
      <c r="B59" s="16" t="s">
        <v>290</v>
      </c>
      <c r="C59" s="8" t="s">
        <v>256</v>
      </c>
      <c r="D59" s="6" t="s">
        <v>181</v>
      </c>
      <c r="E59" s="10" t="s">
        <v>185</v>
      </c>
    </row>
    <row r="60" spans="1:7" x14ac:dyDescent="0.2">
      <c r="A60" t="str">
        <f t="shared" si="1"/>
        <v>Soc57</v>
      </c>
      <c r="B60" s="16" t="s">
        <v>290</v>
      </c>
      <c r="C60" t="s">
        <v>179</v>
      </c>
      <c r="D60" s="7" t="s">
        <v>15</v>
      </c>
      <c r="E60" s="13" t="s">
        <v>194</v>
      </c>
      <c r="F60" t="s">
        <v>220</v>
      </c>
      <c r="G60" t="s">
        <v>221</v>
      </c>
    </row>
    <row r="61" spans="1:7" x14ac:dyDescent="0.2">
      <c r="A61" t="str">
        <f t="shared" si="1"/>
        <v>Soc58</v>
      </c>
      <c r="B61" s="16" t="s">
        <v>290</v>
      </c>
      <c r="C61" t="s">
        <v>180</v>
      </c>
      <c r="D61" s="6" t="s">
        <v>181</v>
      </c>
      <c r="E61" s="13" t="s">
        <v>194</v>
      </c>
      <c r="F61" t="s">
        <v>220</v>
      </c>
      <c r="G61" t="s">
        <v>251</v>
      </c>
    </row>
    <row r="62" spans="1:7" x14ac:dyDescent="0.2">
      <c r="A62" t="str">
        <f t="shared" si="1"/>
        <v>Soc59</v>
      </c>
      <c r="B62" s="16" t="s">
        <v>290</v>
      </c>
      <c r="C62" t="s">
        <v>182</v>
      </c>
      <c r="D62" s="7" t="s">
        <v>15</v>
      </c>
      <c r="E62" s="13" t="s">
        <v>194</v>
      </c>
      <c r="F62" t="s">
        <v>252</v>
      </c>
      <c r="G62" t="s">
        <v>257</v>
      </c>
    </row>
    <row r="63" spans="1:7" x14ac:dyDescent="0.2">
      <c r="A63" t="str">
        <f t="shared" si="1"/>
        <v>Soc60</v>
      </c>
      <c r="B63" s="16" t="s">
        <v>290</v>
      </c>
      <c r="C63" t="s">
        <v>183</v>
      </c>
      <c r="D63" s="7" t="s">
        <v>15</v>
      </c>
      <c r="E63" s="10" t="s">
        <v>185</v>
      </c>
    </row>
    <row r="64" spans="1:7" x14ac:dyDescent="0.2">
      <c r="A64" t="str">
        <f t="shared" si="1"/>
        <v>Soc61</v>
      </c>
      <c r="B64" s="16" t="s">
        <v>290</v>
      </c>
      <c r="C64" t="s">
        <v>184</v>
      </c>
      <c r="D64" s="7" t="s">
        <v>15</v>
      </c>
      <c r="E64" s="13" t="s">
        <v>194</v>
      </c>
      <c r="F64" t="s">
        <v>223</v>
      </c>
      <c r="G64" t="s">
        <v>222</v>
      </c>
    </row>
    <row r="68" spans="2:5" x14ac:dyDescent="0.2">
      <c r="B68" t="s">
        <v>299</v>
      </c>
      <c r="C68">
        <f>COUNTA(_xlfn.UNIQUE(Tabelle3[Category]))</f>
        <v>5</v>
      </c>
    </row>
    <row r="69" spans="2:5" x14ac:dyDescent="0.2">
      <c r="B69" t="s">
        <v>300</v>
      </c>
      <c r="C69">
        <f>COUNTA(Tabelle3[Process-Level Metric])</f>
        <v>61</v>
      </c>
      <c r="D69" s="11" t="s">
        <v>191</v>
      </c>
      <c r="E69" t="s">
        <v>193</v>
      </c>
    </row>
    <row r="70" spans="2:5" x14ac:dyDescent="0.2">
      <c r="D70" s="12" t="s">
        <v>312</v>
      </c>
      <c r="E70">
        <v>4</v>
      </c>
    </row>
    <row r="71" spans="2:5" x14ac:dyDescent="0.2">
      <c r="D71" s="12" t="s">
        <v>313</v>
      </c>
      <c r="E71">
        <v>10</v>
      </c>
    </row>
    <row r="72" spans="2:5" x14ac:dyDescent="0.2">
      <c r="D72" s="12" t="s">
        <v>194</v>
      </c>
      <c r="E72">
        <v>18</v>
      </c>
    </row>
    <row r="73" spans="2:5" x14ac:dyDescent="0.2">
      <c r="D73" s="12" t="s">
        <v>185</v>
      </c>
      <c r="E73">
        <v>29</v>
      </c>
    </row>
    <row r="74" spans="2:5" x14ac:dyDescent="0.2">
      <c r="D74" s="12" t="s">
        <v>192</v>
      </c>
      <c r="E74">
        <v>61</v>
      </c>
    </row>
  </sheetData>
  <phoneticPr fontId="3" type="noConversion"/>
  <pageMargins left="0.7" right="0.7" top="0.78740157499999996" bottom="0.78740157499999996" header="0.3" footer="0.3"/>
  <pageSetup paperSize="9" orientation="portrait" horizontalDpi="0" verticalDpi="0"/>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8695-99B1-B247-9C41-9F2B9C910DA5}">
  <sheetPr>
    <tabColor theme="8"/>
  </sheetPr>
  <dimension ref="A3:G28"/>
  <sheetViews>
    <sheetView topLeftCell="B33" zoomScale="111" workbookViewId="0">
      <selection activeCell="B55" sqref="B55"/>
    </sheetView>
  </sheetViews>
  <sheetFormatPr baseColWidth="10" defaultRowHeight="16" x14ac:dyDescent="0.2"/>
  <cols>
    <col min="1" max="1" width="23.5" customWidth="1"/>
    <col min="2" max="2" width="50.5" customWidth="1"/>
    <col min="3" max="3" width="134.1640625" customWidth="1"/>
    <col min="4" max="4" width="21.33203125" bestFit="1" customWidth="1"/>
    <col min="5" max="5" width="12.5" bestFit="1" customWidth="1"/>
    <col min="6" max="6" width="70.1640625" customWidth="1"/>
    <col min="7" max="7" width="40.1640625" customWidth="1"/>
  </cols>
  <sheetData>
    <row r="3" spans="1:7" x14ac:dyDescent="0.2">
      <c r="A3" s="4" t="s">
        <v>0</v>
      </c>
      <c r="B3" s="5" t="s">
        <v>283</v>
      </c>
      <c r="C3" s="5" t="s">
        <v>1</v>
      </c>
      <c r="D3" s="5" t="s">
        <v>2</v>
      </c>
      <c r="E3" s="5" t="s">
        <v>3</v>
      </c>
      <c r="F3" s="5" t="s">
        <v>4</v>
      </c>
      <c r="G3" s="5" t="s">
        <v>5</v>
      </c>
    </row>
    <row r="4" spans="1:7" x14ac:dyDescent="0.2">
      <c r="A4" t="str">
        <f xml:space="preserve"> "Gov" &amp; ROW(A4) - 3</f>
        <v>Gov1</v>
      </c>
      <c r="B4" s="34" t="s">
        <v>293</v>
      </c>
      <c r="C4" s="1" t="s">
        <v>236</v>
      </c>
      <c r="D4" s="9" t="s">
        <v>42</v>
      </c>
      <c r="E4" s="17" t="s">
        <v>313</v>
      </c>
      <c r="F4" t="s">
        <v>237</v>
      </c>
      <c r="G4" t="s">
        <v>238</v>
      </c>
    </row>
    <row r="5" spans="1:7" x14ac:dyDescent="0.2">
      <c r="A5" t="str">
        <f t="shared" ref="A5:A19" si="0" xml:space="preserve"> "Gov" &amp; ROW(A5) - 3</f>
        <v>Gov2</v>
      </c>
      <c r="B5" s="34" t="s">
        <v>293</v>
      </c>
      <c r="C5" s="1" t="s">
        <v>32</v>
      </c>
      <c r="D5" s="9" t="s">
        <v>42</v>
      </c>
      <c r="E5" s="17" t="s">
        <v>313</v>
      </c>
      <c r="F5" t="s">
        <v>303</v>
      </c>
      <c r="G5" t="s">
        <v>294</v>
      </c>
    </row>
    <row r="6" spans="1:7" ht="15" customHeight="1" x14ac:dyDescent="0.2">
      <c r="A6" t="str">
        <f t="shared" si="0"/>
        <v>Gov3</v>
      </c>
      <c r="B6" s="16" t="s">
        <v>292</v>
      </c>
      <c r="C6" s="8" t="s">
        <v>33</v>
      </c>
      <c r="D6" s="6" t="s">
        <v>43</v>
      </c>
      <c r="E6" s="10" t="s">
        <v>185</v>
      </c>
      <c r="G6" s="27" t="s">
        <v>242</v>
      </c>
    </row>
    <row r="7" spans="1:7" ht="14" customHeight="1" x14ac:dyDescent="0.2">
      <c r="A7" t="str">
        <f t="shared" si="0"/>
        <v>Gov4</v>
      </c>
      <c r="B7" s="16" t="s">
        <v>292</v>
      </c>
      <c r="C7" s="8" t="s">
        <v>34</v>
      </c>
      <c r="D7" s="6" t="s">
        <v>44</v>
      </c>
      <c r="E7" s="10" t="s">
        <v>185</v>
      </c>
      <c r="G7" s="27" t="s">
        <v>242</v>
      </c>
    </row>
    <row r="8" spans="1:7" ht="16" customHeight="1" x14ac:dyDescent="0.2">
      <c r="A8" t="str">
        <f t="shared" si="0"/>
        <v>Gov5</v>
      </c>
      <c r="B8" s="16" t="s">
        <v>292</v>
      </c>
      <c r="C8" s="8" t="s">
        <v>35</v>
      </c>
      <c r="D8" s="6" t="s">
        <v>45</v>
      </c>
      <c r="E8" s="10" t="s">
        <v>185</v>
      </c>
      <c r="G8" s="27" t="s">
        <v>242</v>
      </c>
    </row>
    <row r="9" spans="1:7" ht="14" customHeight="1" x14ac:dyDescent="0.2">
      <c r="A9" t="str">
        <f t="shared" si="0"/>
        <v>Gov6</v>
      </c>
      <c r="B9" s="16" t="s">
        <v>291</v>
      </c>
      <c r="C9" s="8" t="s">
        <v>36</v>
      </c>
      <c r="D9" s="6" t="s">
        <v>46</v>
      </c>
      <c r="E9" s="10" t="s">
        <v>185</v>
      </c>
      <c r="G9" s="32" t="s">
        <v>268</v>
      </c>
    </row>
    <row r="10" spans="1:7" ht="17" customHeight="1" x14ac:dyDescent="0.2">
      <c r="A10" t="str">
        <f t="shared" si="0"/>
        <v>Gov7</v>
      </c>
      <c r="B10" s="16" t="s">
        <v>291</v>
      </c>
      <c r="C10" s="8" t="s">
        <v>37</v>
      </c>
      <c r="D10" s="6" t="s">
        <v>47</v>
      </c>
      <c r="E10" s="10" t="s">
        <v>185</v>
      </c>
      <c r="G10" s="32" t="s">
        <v>268</v>
      </c>
    </row>
    <row r="11" spans="1:7" ht="17" x14ac:dyDescent="0.2">
      <c r="A11" t="str">
        <f t="shared" si="0"/>
        <v>Gov8</v>
      </c>
      <c r="B11" s="16" t="s">
        <v>291</v>
      </c>
      <c r="C11" s="8" t="s">
        <v>38</v>
      </c>
      <c r="D11" s="6" t="s">
        <v>48</v>
      </c>
      <c r="E11" s="10" t="s">
        <v>185</v>
      </c>
      <c r="G11" s="32" t="s">
        <v>268</v>
      </c>
    </row>
    <row r="12" spans="1:7" x14ac:dyDescent="0.2">
      <c r="A12" t="str">
        <f t="shared" si="0"/>
        <v>Gov9</v>
      </c>
      <c r="B12" s="16" t="s">
        <v>291</v>
      </c>
      <c r="C12" t="s">
        <v>39</v>
      </c>
      <c r="D12" s="6" t="s">
        <v>46</v>
      </c>
      <c r="E12" s="10" t="s">
        <v>185</v>
      </c>
      <c r="G12" s="32" t="s">
        <v>268</v>
      </c>
    </row>
    <row r="13" spans="1:7" ht="15" customHeight="1" x14ac:dyDescent="0.2">
      <c r="A13" t="str">
        <f t="shared" si="0"/>
        <v>Gov10</v>
      </c>
      <c r="B13" s="16" t="s">
        <v>291</v>
      </c>
      <c r="C13" s="8" t="s">
        <v>36</v>
      </c>
      <c r="D13" s="6" t="s">
        <v>46</v>
      </c>
      <c r="E13" s="10" t="s">
        <v>185</v>
      </c>
      <c r="G13" s="32" t="s">
        <v>268</v>
      </c>
    </row>
    <row r="14" spans="1:7" ht="15" customHeight="1" x14ac:dyDescent="0.2">
      <c r="A14" t="str">
        <f t="shared" si="0"/>
        <v>Gov11</v>
      </c>
      <c r="B14" s="16" t="s">
        <v>291</v>
      </c>
      <c r="C14" s="8" t="s">
        <v>40</v>
      </c>
      <c r="D14" s="6" t="s">
        <v>49</v>
      </c>
      <c r="E14" s="3" t="s">
        <v>312</v>
      </c>
      <c r="F14" t="s">
        <v>213</v>
      </c>
    </row>
    <row r="15" spans="1:7" ht="16" customHeight="1" x14ac:dyDescent="0.2">
      <c r="A15" t="str">
        <f t="shared" si="0"/>
        <v>Gov12</v>
      </c>
      <c r="B15" s="16" t="s">
        <v>291</v>
      </c>
      <c r="C15" s="8" t="s">
        <v>224</v>
      </c>
      <c r="D15" s="9" t="s">
        <v>225</v>
      </c>
      <c r="E15" s="10" t="s">
        <v>185</v>
      </c>
      <c r="G15" t="s">
        <v>265</v>
      </c>
    </row>
    <row r="16" spans="1:7" ht="15" customHeight="1" x14ac:dyDescent="0.2">
      <c r="A16" t="str">
        <f t="shared" si="0"/>
        <v>Gov13</v>
      </c>
      <c r="B16" s="16" t="s">
        <v>291</v>
      </c>
      <c r="C16" s="8" t="s">
        <v>41</v>
      </c>
      <c r="D16" s="6" t="s">
        <v>50</v>
      </c>
      <c r="E16" s="10" t="s">
        <v>185</v>
      </c>
      <c r="G16" s="32" t="s">
        <v>267</v>
      </c>
    </row>
    <row r="17" spans="1:7" x14ac:dyDescent="0.2">
      <c r="A17" t="str">
        <f t="shared" si="0"/>
        <v>Gov14</v>
      </c>
      <c r="B17" s="16" t="s">
        <v>291</v>
      </c>
      <c r="C17" t="s">
        <v>51</v>
      </c>
      <c r="D17" s="9" t="s">
        <v>52</v>
      </c>
      <c r="E17" s="10" t="s">
        <v>185</v>
      </c>
      <c r="G17" s="32" t="s">
        <v>267</v>
      </c>
    </row>
    <row r="18" spans="1:7" ht="16" customHeight="1" x14ac:dyDescent="0.2">
      <c r="A18" t="str">
        <f t="shared" si="0"/>
        <v>Gov15</v>
      </c>
      <c r="B18" s="16" t="s">
        <v>291</v>
      </c>
      <c r="C18" s="8" t="s">
        <v>53</v>
      </c>
      <c r="D18" s="6" t="s">
        <v>50</v>
      </c>
      <c r="E18" s="10" t="s">
        <v>185</v>
      </c>
      <c r="G18" s="32" t="s">
        <v>267</v>
      </c>
    </row>
    <row r="19" spans="1:7" ht="15" customHeight="1" x14ac:dyDescent="0.2">
      <c r="A19" t="str">
        <f t="shared" si="0"/>
        <v>Gov16</v>
      </c>
      <c r="B19" s="16" t="s">
        <v>291</v>
      </c>
      <c r="C19" s="8" t="s">
        <v>54</v>
      </c>
      <c r="D19" s="6" t="s">
        <v>55</v>
      </c>
      <c r="E19" s="3" t="s">
        <v>312</v>
      </c>
      <c r="F19" t="s">
        <v>201</v>
      </c>
      <c r="G19" t="s">
        <v>200</v>
      </c>
    </row>
    <row r="22" spans="1:7" x14ac:dyDescent="0.2">
      <c r="B22" t="s">
        <v>299</v>
      </c>
      <c r="C22">
        <f>COUNTA(_xlfn.UNIQUE(Tabelle4[Category]))</f>
        <v>3</v>
      </c>
    </row>
    <row r="23" spans="1:7" x14ac:dyDescent="0.2">
      <c r="B23" t="s">
        <v>300</v>
      </c>
      <c r="C23">
        <f>COUNTA(Tabelle4[Process-Level Metric])</f>
        <v>16</v>
      </c>
    </row>
    <row r="24" spans="1:7" x14ac:dyDescent="0.2">
      <c r="D24" s="11" t="s">
        <v>191</v>
      </c>
      <c r="E24" t="s">
        <v>193</v>
      </c>
    </row>
    <row r="25" spans="1:7" x14ac:dyDescent="0.2">
      <c r="D25" s="12" t="s">
        <v>312</v>
      </c>
      <c r="E25">
        <v>2</v>
      </c>
    </row>
    <row r="26" spans="1:7" x14ac:dyDescent="0.2">
      <c r="D26" s="12" t="s">
        <v>313</v>
      </c>
      <c r="E26">
        <v>2</v>
      </c>
    </row>
    <row r="27" spans="1:7" x14ac:dyDescent="0.2">
      <c r="D27" s="12" t="s">
        <v>185</v>
      </c>
      <c r="E27">
        <v>12</v>
      </c>
    </row>
    <row r="28" spans="1:7" x14ac:dyDescent="0.2">
      <c r="D28" s="12" t="s">
        <v>192</v>
      </c>
      <c r="E28">
        <v>16</v>
      </c>
    </row>
  </sheetData>
  <pageMargins left="0.7" right="0.7" top="0.78740157499999996" bottom="0.78740157499999996" header="0.3" footer="0.3"/>
  <pageSetup paperSize="9" orientation="portrait" horizontalDpi="0" verticalDpi="0"/>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Economic</vt:lpstr>
      <vt:lpstr>Environment</vt:lpstr>
      <vt:lpstr>Social</vt:lpstr>
      <vt:lpstr>Governance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Christian Scharpf</dc:creator>
  <cp:lastModifiedBy>Nathalie Wolf</cp:lastModifiedBy>
  <dcterms:created xsi:type="dcterms:W3CDTF">2025-08-03T09:52:46Z</dcterms:created>
  <dcterms:modified xsi:type="dcterms:W3CDTF">2026-08-03T10:47:17Z</dcterms:modified>
</cp:coreProperties>
</file>